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Example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  <font>
      <name val="Arial"/>
      <i val="1"/>
      <color rgb="0094A3B8"/>
      <sz val="9"/>
    </font>
    <font>
      <name val="Arial"/>
      <i val="1"/>
      <color rgb="00475569"/>
      <sz val="9"/>
    </font>
    <font>
      <name val="Arial"/>
      <b val="1"/>
      <color rgb="001F2937"/>
      <sz val="10"/>
    </font>
    <font>
      <name val="Arial"/>
      <i val="1"/>
      <color rgb="00475569"/>
      <sz val="10"/>
    </font>
    <font>
      <name val="Arial"/>
      <b val="1"/>
      <color rgb="001F2937"/>
      <sz val="14"/>
    </font>
    <font>
      <name val="Arial"/>
      <color rgb="00475569"/>
      <sz val="10"/>
    </font>
    <font>
      <name val="Arial"/>
      <b val="1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9C4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164" fontId="2" fillId="3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indent="2"/>
    </xf>
    <xf numFmtId="0" fontId="4" fillId="0" borderId="0" pivotButton="0" quotePrefix="0" xfId="0"/>
    <xf numFmtId="0" fontId="5" fillId="4" borderId="1" pivotButton="0" quotePrefix="0" xfId="0"/>
    <xf numFmtId="0" fontId="2" fillId="0" borderId="1" applyAlignment="1" pivotButton="0" quotePrefix="0" xfId="0">
      <alignment indent="2"/>
    </xf>
    <xf numFmtId="0" fontId="6" fillId="0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3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2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Duration (d)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Predecessor</t>
        </is>
      </c>
      <c r="H1" s="1" t="inlineStr">
        <is>
          <t>Successor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J2" s="3" t="inlineStr">
        <is>
          <t>← your project name (Description column)</t>
        </is>
      </c>
    </row>
    <row r="3">
      <c r="A3" s="4" t="n"/>
      <c r="B3" s="2" t="n"/>
      <c r="C3" s="4" t="inlineStr">
        <is>
          <t>WBS Header</t>
        </is>
      </c>
      <c r="D3" s="4" t="n"/>
      <c r="E3" s="4" t="n"/>
      <c r="F3" s="4" t="n"/>
      <c r="G3" s="4" t="n"/>
      <c r="H3" s="4" t="n"/>
      <c r="J3" s="3" t="inlineStr">
        <is>
          <t>← phase name (leave blank to skip this phase)</t>
        </is>
      </c>
    </row>
    <row r="4">
      <c r="A4" s="5" t="inlineStr">
        <is>
          <t>1.0</t>
        </is>
      </c>
      <c r="B4" s="2" t="n"/>
      <c r="C4" s="5" t="inlineStr">
        <is>
          <t>Deliverable</t>
        </is>
      </c>
      <c r="D4" s="2" t="n"/>
      <c r="E4" s="6" t="n"/>
      <c r="F4" s="7">
        <f>IF(OR($E4="",$D4=""),"",WORKDAY($E4,MAX($D4-1,0)))</f>
        <v/>
      </c>
      <c r="G4" s="2" t="n"/>
      <c r="H4" s="5" t="n"/>
      <c r="J4" s="3" t="inlineStr">
        <is>
          <t>← deliverable name; Finish auto-fills from Start+Duration; Predecessor auto-chains — overwrite if the logic differs</t>
        </is>
      </c>
    </row>
    <row r="5">
      <c r="A5" s="5" t="inlineStr">
        <is>
          <t>1.1</t>
        </is>
      </c>
      <c r="B5" s="8" t="n"/>
      <c r="C5" s="5" t="inlineStr">
        <is>
          <t>Activity</t>
        </is>
      </c>
      <c r="D5" s="2" t="n"/>
      <c r="E5" s="6" t="n"/>
      <c r="F5" s="7">
        <f>IF(OR($E5="",$D5=""),"",WORKDAY($E5,MAX($D5-1,0)))</f>
        <v/>
      </c>
      <c r="G5" s="2" t="n"/>
      <c r="H5" s="5" t="n"/>
      <c r="J5" s="3" t="inlineStr">
        <is>
          <t>← activity name (6 ready rows per deliverable — type on the next one to add)</t>
        </is>
      </c>
    </row>
    <row r="6">
      <c r="A6" s="5" t="inlineStr">
        <is>
          <t>1.2</t>
        </is>
      </c>
      <c r="B6" s="8" t="n"/>
      <c r="C6" s="5" t="inlineStr">
        <is>
          <t>Activity</t>
        </is>
      </c>
      <c r="D6" s="2" t="n"/>
      <c r="E6" s="6" t="n"/>
      <c r="F6" s="7">
        <f>IF(OR($E6="",$D6=""),"",WORKDAY($E6,MAX($D6-1,0)))</f>
        <v/>
      </c>
      <c r="G6" s="2">
        <f>IF(OR($B6="",$B5=""),"","1.1:FS")</f>
        <v/>
      </c>
      <c r="H6" s="5" t="n"/>
    </row>
    <row r="7">
      <c r="A7" s="5" t="inlineStr">
        <is>
          <t>1.3</t>
        </is>
      </c>
      <c r="B7" s="8" t="n"/>
      <c r="C7" s="5" t="inlineStr">
        <is>
          <t>Activity</t>
        </is>
      </c>
      <c r="D7" s="2" t="n"/>
      <c r="E7" s="6" t="n"/>
      <c r="F7" s="7">
        <f>IF(OR($E7="",$D7=""),"",WORKDAY($E7,MAX($D7-1,0)))</f>
        <v/>
      </c>
      <c r="G7" s="2">
        <f>IF(OR($B7="",$B6=""),"","1.2:FS")</f>
        <v/>
      </c>
      <c r="H7" s="5" t="n"/>
    </row>
    <row r="8">
      <c r="A8" s="5" t="inlineStr">
        <is>
          <t>1.4</t>
        </is>
      </c>
      <c r="B8" s="8" t="n"/>
      <c r="C8" s="5" t="inlineStr">
        <is>
          <t>Activity</t>
        </is>
      </c>
      <c r="D8" s="2" t="n"/>
      <c r="E8" s="6" t="n"/>
      <c r="F8" s="7">
        <f>IF(OR($E8="",$D8=""),"",WORKDAY($E8,MAX($D8-1,0)))</f>
        <v/>
      </c>
      <c r="G8" s="2">
        <f>IF(OR($B8="",$B7=""),"","1.3:FS")</f>
        <v/>
      </c>
      <c r="H8" s="5" t="n"/>
    </row>
    <row r="9">
      <c r="A9" s="5" t="inlineStr">
        <is>
          <t>1.5</t>
        </is>
      </c>
      <c r="B9" s="8" t="n"/>
      <c r="C9" s="5" t="inlineStr">
        <is>
          <t>Activity</t>
        </is>
      </c>
      <c r="D9" s="2" t="n"/>
      <c r="E9" s="6" t="n"/>
      <c r="F9" s="7">
        <f>IF(OR($E9="",$D9=""),"",WORKDAY($E9,MAX($D9-1,0)))</f>
        <v/>
      </c>
      <c r="G9" s="2">
        <f>IF(OR($B9="",$B8=""),"","1.4:FS")</f>
        <v/>
      </c>
      <c r="H9" s="5" t="n"/>
    </row>
    <row r="10">
      <c r="A10" s="5" t="inlineStr">
        <is>
          <t>1.6</t>
        </is>
      </c>
      <c r="B10" s="8" t="n"/>
      <c r="C10" s="5" t="inlineStr">
        <is>
          <t>Activity</t>
        </is>
      </c>
      <c r="D10" s="2" t="n"/>
      <c r="E10" s="6" t="n"/>
      <c r="F10" s="7">
        <f>IF(OR($E10="",$D10=""),"",WORKDAY($E10,MAX($D10-1,0)))</f>
        <v/>
      </c>
      <c r="G10" s="2">
        <f>IF(OR($B10="",$B9=""),"","1.5:FS")</f>
        <v/>
      </c>
      <c r="H10" s="5" t="n"/>
    </row>
    <row r="11">
      <c r="A11" s="5" t="inlineStr">
        <is>
          <t>2.0</t>
        </is>
      </c>
      <c r="B11" s="2" t="n"/>
      <c r="C11" s="5" t="inlineStr">
        <is>
          <t>Deliverable</t>
        </is>
      </c>
      <c r="D11" s="2" t="n"/>
      <c r="E11" s="6" t="n"/>
      <c r="F11" s="7">
        <f>IF(OR($E11="",$D11=""),"",WORKDAY($E11,MAX($D11-1,0)))</f>
        <v/>
      </c>
      <c r="G11" s="2">
        <f>IF(OR($B11="",$B4=""),"","1.0:FS")</f>
        <v/>
      </c>
      <c r="H11" s="5" t="n"/>
    </row>
    <row r="12">
      <c r="A12" s="5" t="inlineStr">
        <is>
          <t>2.1</t>
        </is>
      </c>
      <c r="B12" s="8" t="n"/>
      <c r="C12" s="5" t="inlineStr">
        <is>
          <t>Activity</t>
        </is>
      </c>
      <c r="D12" s="2" t="n"/>
      <c r="E12" s="6" t="n"/>
      <c r="F12" s="7">
        <f>IF(OR($E12="",$D12=""),"",WORKDAY($E12,MAX($D12-1,0)))</f>
        <v/>
      </c>
      <c r="G12" s="2" t="n"/>
      <c r="H12" s="5" t="n"/>
    </row>
    <row r="13">
      <c r="A13" s="5" t="inlineStr">
        <is>
          <t>2.2</t>
        </is>
      </c>
      <c r="B13" s="8" t="n"/>
      <c r="C13" s="5" t="inlineStr">
        <is>
          <t>Activity</t>
        </is>
      </c>
      <c r="D13" s="2" t="n"/>
      <c r="E13" s="6" t="n"/>
      <c r="F13" s="7">
        <f>IF(OR($E13="",$D13=""),"",WORKDAY($E13,MAX($D13-1,0)))</f>
        <v/>
      </c>
      <c r="G13" s="2">
        <f>IF(OR($B13="",$B12=""),"","2.1:FS")</f>
        <v/>
      </c>
      <c r="H13" s="5" t="n"/>
    </row>
    <row r="14">
      <c r="A14" s="5" t="inlineStr">
        <is>
          <t>2.3</t>
        </is>
      </c>
      <c r="B14" s="8" t="n"/>
      <c r="C14" s="5" t="inlineStr">
        <is>
          <t>Activity</t>
        </is>
      </c>
      <c r="D14" s="2" t="n"/>
      <c r="E14" s="6" t="n"/>
      <c r="F14" s="7">
        <f>IF(OR($E14="",$D14=""),"",WORKDAY($E14,MAX($D14-1,0)))</f>
        <v/>
      </c>
      <c r="G14" s="2">
        <f>IF(OR($B14="",$B13=""),"","2.2:FS")</f>
        <v/>
      </c>
      <c r="H14" s="5" t="n"/>
    </row>
    <row r="15">
      <c r="A15" s="5" t="inlineStr">
        <is>
          <t>2.4</t>
        </is>
      </c>
      <c r="B15" s="8" t="n"/>
      <c r="C15" s="5" t="inlineStr">
        <is>
          <t>Activity</t>
        </is>
      </c>
      <c r="D15" s="2" t="n"/>
      <c r="E15" s="6" t="n"/>
      <c r="F15" s="7">
        <f>IF(OR($E15="",$D15=""),"",WORKDAY($E15,MAX($D15-1,0)))</f>
        <v/>
      </c>
      <c r="G15" s="2">
        <f>IF(OR($B15="",$B14=""),"","2.3:FS")</f>
        <v/>
      </c>
      <c r="H15" s="5" t="n"/>
    </row>
    <row r="16">
      <c r="A16" s="5" t="inlineStr">
        <is>
          <t>2.5</t>
        </is>
      </c>
      <c r="B16" s="8" t="n"/>
      <c r="C16" s="5" t="inlineStr">
        <is>
          <t>Activity</t>
        </is>
      </c>
      <c r="D16" s="2" t="n"/>
      <c r="E16" s="6" t="n"/>
      <c r="F16" s="7">
        <f>IF(OR($E16="",$D16=""),"",WORKDAY($E16,MAX($D16-1,0)))</f>
        <v/>
      </c>
      <c r="G16" s="2">
        <f>IF(OR($B16="",$B15=""),"","2.4:FS")</f>
        <v/>
      </c>
      <c r="H16" s="5" t="n"/>
    </row>
    <row r="17">
      <c r="A17" s="5" t="inlineStr">
        <is>
          <t>2.6</t>
        </is>
      </c>
      <c r="B17" s="8" t="n"/>
      <c r="C17" s="5" t="inlineStr">
        <is>
          <t>Activity</t>
        </is>
      </c>
      <c r="D17" s="2" t="n"/>
      <c r="E17" s="6" t="n"/>
      <c r="F17" s="7">
        <f>IF(OR($E17="",$D17=""),"",WORKDAY($E17,MAX($D17-1,0)))</f>
        <v/>
      </c>
      <c r="G17" s="2">
        <f>IF(OR($B17="",$B16=""),"","2.5:FS")</f>
        <v/>
      </c>
      <c r="H17" s="5" t="n"/>
    </row>
    <row r="18">
      <c r="A18" s="5" t="inlineStr">
        <is>
          <t>3.0</t>
        </is>
      </c>
      <c r="B18" s="2" t="n"/>
      <c r="C18" s="5" t="inlineStr">
        <is>
          <t>Deliverable</t>
        </is>
      </c>
      <c r="D18" s="2" t="n"/>
      <c r="E18" s="6" t="n"/>
      <c r="F18" s="7">
        <f>IF(OR($E18="",$D18=""),"",WORKDAY($E18,MAX($D18-1,0)))</f>
        <v/>
      </c>
      <c r="G18" s="2">
        <f>IF(OR($B18="",$B11=""),"","2.0:FS")</f>
        <v/>
      </c>
      <c r="H18" s="5" t="n"/>
    </row>
    <row r="19">
      <c r="A19" s="5" t="inlineStr">
        <is>
          <t>3.1</t>
        </is>
      </c>
      <c r="B19" s="8" t="n"/>
      <c r="C19" s="5" t="inlineStr">
        <is>
          <t>Activity</t>
        </is>
      </c>
      <c r="D19" s="2" t="n"/>
      <c r="E19" s="6" t="n"/>
      <c r="F19" s="7">
        <f>IF(OR($E19="",$D19=""),"",WORKDAY($E19,MAX($D19-1,0)))</f>
        <v/>
      </c>
      <c r="G19" s="2" t="n"/>
      <c r="H19" s="5" t="n"/>
    </row>
    <row r="20">
      <c r="A20" s="5" t="inlineStr">
        <is>
          <t>3.2</t>
        </is>
      </c>
      <c r="B20" s="8" t="n"/>
      <c r="C20" s="5" t="inlineStr">
        <is>
          <t>Activity</t>
        </is>
      </c>
      <c r="D20" s="2" t="n"/>
      <c r="E20" s="6" t="n"/>
      <c r="F20" s="7">
        <f>IF(OR($E20="",$D20=""),"",WORKDAY($E20,MAX($D20-1,0)))</f>
        <v/>
      </c>
      <c r="G20" s="2">
        <f>IF(OR($B20="",$B19=""),"","3.1:FS")</f>
        <v/>
      </c>
      <c r="H20" s="5" t="n"/>
    </row>
    <row r="21">
      <c r="A21" s="5" t="inlineStr">
        <is>
          <t>3.3</t>
        </is>
      </c>
      <c r="B21" s="8" t="n"/>
      <c r="C21" s="5" t="inlineStr">
        <is>
          <t>Activity</t>
        </is>
      </c>
      <c r="D21" s="2" t="n"/>
      <c r="E21" s="6" t="n"/>
      <c r="F21" s="7">
        <f>IF(OR($E21="",$D21=""),"",WORKDAY($E21,MAX($D21-1,0)))</f>
        <v/>
      </c>
      <c r="G21" s="2">
        <f>IF(OR($B21="",$B20=""),"","3.2:FS")</f>
        <v/>
      </c>
      <c r="H21" s="5" t="n"/>
    </row>
    <row r="22">
      <c r="A22" s="5" t="inlineStr">
        <is>
          <t>3.4</t>
        </is>
      </c>
      <c r="B22" s="8" t="n"/>
      <c r="C22" s="5" t="inlineStr">
        <is>
          <t>Activity</t>
        </is>
      </c>
      <c r="D22" s="2" t="n"/>
      <c r="E22" s="6" t="n"/>
      <c r="F22" s="7">
        <f>IF(OR($E22="",$D22=""),"",WORKDAY($E22,MAX($D22-1,0)))</f>
        <v/>
      </c>
      <c r="G22" s="2">
        <f>IF(OR($B22="",$B21=""),"","3.3:FS")</f>
        <v/>
      </c>
      <c r="H22" s="5" t="n"/>
    </row>
    <row r="23">
      <c r="A23" s="5" t="inlineStr">
        <is>
          <t>3.5</t>
        </is>
      </c>
      <c r="B23" s="8" t="n"/>
      <c r="C23" s="5" t="inlineStr">
        <is>
          <t>Activity</t>
        </is>
      </c>
      <c r="D23" s="2" t="n"/>
      <c r="E23" s="6" t="n"/>
      <c r="F23" s="7">
        <f>IF(OR($E23="",$D23=""),"",WORKDAY($E23,MAX($D23-1,0)))</f>
        <v/>
      </c>
      <c r="G23" s="2">
        <f>IF(OR($B23="",$B22=""),"","3.4:FS")</f>
        <v/>
      </c>
      <c r="H23" s="5" t="n"/>
    </row>
    <row r="24">
      <c r="A24" s="5" t="inlineStr">
        <is>
          <t>3.6</t>
        </is>
      </c>
      <c r="B24" s="8" t="n"/>
      <c r="C24" s="5" t="inlineStr">
        <is>
          <t>Activity</t>
        </is>
      </c>
      <c r="D24" s="2" t="n"/>
      <c r="E24" s="6" t="n"/>
      <c r="F24" s="7">
        <f>IF(OR($E24="",$D24=""),"",WORKDAY($E24,MAX($D24-1,0)))</f>
        <v/>
      </c>
      <c r="G24" s="2">
        <f>IF(OR($B24="",$B23=""),"","3.5:FS")</f>
        <v/>
      </c>
      <c r="H24" s="5" t="n"/>
    </row>
    <row r="25">
      <c r="A25" s="5" t="inlineStr">
        <is>
          <t>4.0</t>
        </is>
      </c>
      <c r="B25" s="2" t="n"/>
      <c r="C25" s="5" t="inlineStr">
        <is>
          <t>Deliverable</t>
        </is>
      </c>
      <c r="D25" s="2" t="n"/>
      <c r="E25" s="6" t="n"/>
      <c r="F25" s="7">
        <f>IF(OR($E25="",$D25=""),"",WORKDAY($E25,MAX($D25-1,0)))</f>
        <v/>
      </c>
      <c r="G25" s="2">
        <f>IF(OR($B25="",$B18=""),"","3.0:FS")</f>
        <v/>
      </c>
      <c r="H25" s="5" t="n"/>
    </row>
    <row r="26">
      <c r="A26" s="5" t="inlineStr">
        <is>
          <t>4.1</t>
        </is>
      </c>
      <c r="B26" s="8" t="n"/>
      <c r="C26" s="5" t="inlineStr">
        <is>
          <t>Activity</t>
        </is>
      </c>
      <c r="D26" s="2" t="n"/>
      <c r="E26" s="6" t="n"/>
      <c r="F26" s="7">
        <f>IF(OR($E26="",$D26=""),"",WORKDAY($E26,MAX($D26-1,0)))</f>
        <v/>
      </c>
      <c r="G26" s="2" t="n"/>
      <c r="H26" s="5" t="n"/>
    </row>
    <row r="27">
      <c r="A27" s="5" t="inlineStr">
        <is>
          <t>4.2</t>
        </is>
      </c>
      <c r="B27" s="8" t="n"/>
      <c r="C27" s="5" t="inlineStr">
        <is>
          <t>Activity</t>
        </is>
      </c>
      <c r="D27" s="2" t="n"/>
      <c r="E27" s="6" t="n"/>
      <c r="F27" s="7">
        <f>IF(OR($E27="",$D27=""),"",WORKDAY($E27,MAX($D27-1,0)))</f>
        <v/>
      </c>
      <c r="G27" s="2">
        <f>IF(OR($B27="",$B26=""),"","4.1:FS")</f>
        <v/>
      </c>
      <c r="H27" s="5" t="n"/>
    </row>
    <row r="28">
      <c r="A28" s="5" t="inlineStr">
        <is>
          <t>4.3</t>
        </is>
      </c>
      <c r="B28" s="8" t="n"/>
      <c r="C28" s="5" t="inlineStr">
        <is>
          <t>Activity</t>
        </is>
      </c>
      <c r="D28" s="2" t="n"/>
      <c r="E28" s="6" t="n"/>
      <c r="F28" s="7">
        <f>IF(OR($E28="",$D28=""),"",WORKDAY($E28,MAX($D28-1,0)))</f>
        <v/>
      </c>
      <c r="G28" s="2">
        <f>IF(OR($B28="",$B27=""),"","4.2:FS")</f>
        <v/>
      </c>
      <c r="H28" s="5" t="n"/>
    </row>
    <row r="29">
      <c r="A29" s="5" t="inlineStr">
        <is>
          <t>4.4</t>
        </is>
      </c>
      <c r="B29" s="8" t="n"/>
      <c r="C29" s="5" t="inlineStr">
        <is>
          <t>Activity</t>
        </is>
      </c>
      <c r="D29" s="2" t="n"/>
      <c r="E29" s="6" t="n"/>
      <c r="F29" s="7">
        <f>IF(OR($E29="",$D29=""),"",WORKDAY($E29,MAX($D29-1,0)))</f>
        <v/>
      </c>
      <c r="G29" s="2">
        <f>IF(OR($B29="",$B28=""),"","4.3:FS")</f>
        <v/>
      </c>
      <c r="H29" s="5" t="n"/>
    </row>
    <row r="30">
      <c r="A30" s="5" t="inlineStr">
        <is>
          <t>4.5</t>
        </is>
      </c>
      <c r="B30" s="8" t="n"/>
      <c r="C30" s="5" t="inlineStr">
        <is>
          <t>Activity</t>
        </is>
      </c>
      <c r="D30" s="2" t="n"/>
      <c r="E30" s="6" t="n"/>
      <c r="F30" s="7">
        <f>IF(OR($E30="",$D30=""),"",WORKDAY($E30,MAX($D30-1,0)))</f>
        <v/>
      </c>
      <c r="G30" s="2">
        <f>IF(OR($B30="",$B29=""),"","4.4:FS")</f>
        <v/>
      </c>
      <c r="H30" s="5" t="n"/>
    </row>
    <row r="31">
      <c r="A31" s="5" t="inlineStr">
        <is>
          <t>4.6</t>
        </is>
      </c>
      <c r="B31" s="8" t="n"/>
      <c r="C31" s="5" t="inlineStr">
        <is>
          <t>Activity</t>
        </is>
      </c>
      <c r="D31" s="2" t="n"/>
      <c r="E31" s="6" t="n"/>
      <c r="F31" s="7">
        <f>IF(OR($E31="",$D31=""),"",WORKDAY($E31,MAX($D31-1,0)))</f>
        <v/>
      </c>
      <c r="G31" s="2">
        <f>IF(OR($B31="",$B30=""),"","4.5:FS")</f>
        <v/>
      </c>
      <c r="H31" s="5" t="n"/>
    </row>
    <row r="32">
      <c r="A32" s="4" t="n"/>
      <c r="B32" s="2" t="n"/>
      <c r="C32" s="4" t="inlineStr">
        <is>
          <t>WBS Header</t>
        </is>
      </c>
      <c r="D32" s="4" t="n"/>
      <c r="E32" s="4" t="n"/>
      <c r="F32" s="4" t="n"/>
      <c r="G32" s="4" t="n"/>
      <c r="H32" s="4" t="n"/>
    </row>
    <row r="33">
      <c r="A33" s="5" t="inlineStr">
        <is>
          <t>5.0</t>
        </is>
      </c>
      <c r="B33" s="2" t="n"/>
      <c r="C33" s="5" t="inlineStr">
        <is>
          <t>Deliverable</t>
        </is>
      </c>
      <c r="D33" s="2" t="n"/>
      <c r="E33" s="6" t="n"/>
      <c r="F33" s="7">
        <f>IF(OR($E33="",$D33=""),"",WORKDAY($E33,MAX($D33-1,0)))</f>
        <v/>
      </c>
      <c r="G33" s="2">
        <f>IF(OR($B33="",$B25=""),"","4.0:FS")</f>
        <v/>
      </c>
      <c r="H33" s="5" t="n"/>
    </row>
    <row r="34">
      <c r="A34" s="5" t="inlineStr">
        <is>
          <t>5.1</t>
        </is>
      </c>
      <c r="B34" s="8" t="n"/>
      <c r="C34" s="5" t="inlineStr">
        <is>
          <t>Activity</t>
        </is>
      </c>
      <c r="D34" s="2" t="n"/>
      <c r="E34" s="6" t="n"/>
      <c r="F34" s="7">
        <f>IF(OR($E34="",$D34=""),"",WORKDAY($E34,MAX($D34-1,0)))</f>
        <v/>
      </c>
      <c r="G34" s="2" t="n"/>
      <c r="H34" s="5" t="n"/>
    </row>
    <row r="35">
      <c r="A35" s="5" t="inlineStr">
        <is>
          <t>5.2</t>
        </is>
      </c>
      <c r="B35" s="8" t="n"/>
      <c r="C35" s="5" t="inlineStr">
        <is>
          <t>Activity</t>
        </is>
      </c>
      <c r="D35" s="2" t="n"/>
      <c r="E35" s="6" t="n"/>
      <c r="F35" s="7">
        <f>IF(OR($E35="",$D35=""),"",WORKDAY($E35,MAX($D35-1,0)))</f>
        <v/>
      </c>
      <c r="G35" s="2">
        <f>IF(OR($B35="",$B34=""),"","5.1:FS")</f>
        <v/>
      </c>
      <c r="H35" s="5" t="n"/>
    </row>
    <row r="36">
      <c r="A36" s="5" t="inlineStr">
        <is>
          <t>5.3</t>
        </is>
      </c>
      <c r="B36" s="8" t="n"/>
      <c r="C36" s="5" t="inlineStr">
        <is>
          <t>Activity</t>
        </is>
      </c>
      <c r="D36" s="2" t="n"/>
      <c r="E36" s="6" t="n"/>
      <c r="F36" s="7">
        <f>IF(OR($E36="",$D36=""),"",WORKDAY($E36,MAX($D36-1,0)))</f>
        <v/>
      </c>
      <c r="G36" s="2">
        <f>IF(OR($B36="",$B35=""),"","5.2:FS")</f>
        <v/>
      </c>
      <c r="H36" s="5" t="n"/>
    </row>
    <row r="37">
      <c r="A37" s="5" t="inlineStr">
        <is>
          <t>5.4</t>
        </is>
      </c>
      <c r="B37" s="8" t="n"/>
      <c r="C37" s="5" t="inlineStr">
        <is>
          <t>Activity</t>
        </is>
      </c>
      <c r="D37" s="2" t="n"/>
      <c r="E37" s="6" t="n"/>
      <c r="F37" s="7">
        <f>IF(OR($E37="",$D37=""),"",WORKDAY($E37,MAX($D37-1,0)))</f>
        <v/>
      </c>
      <c r="G37" s="2">
        <f>IF(OR($B37="",$B36=""),"","5.3:FS")</f>
        <v/>
      </c>
      <c r="H37" s="5" t="n"/>
    </row>
    <row r="38">
      <c r="A38" s="5" t="inlineStr">
        <is>
          <t>5.5</t>
        </is>
      </c>
      <c r="B38" s="8" t="n"/>
      <c r="C38" s="5" t="inlineStr">
        <is>
          <t>Activity</t>
        </is>
      </c>
      <c r="D38" s="2" t="n"/>
      <c r="E38" s="6" t="n"/>
      <c r="F38" s="7">
        <f>IF(OR($E38="",$D38=""),"",WORKDAY($E38,MAX($D38-1,0)))</f>
        <v/>
      </c>
      <c r="G38" s="2">
        <f>IF(OR($B38="",$B37=""),"","5.4:FS")</f>
        <v/>
      </c>
      <c r="H38" s="5" t="n"/>
    </row>
    <row r="39">
      <c r="A39" s="5" t="inlineStr">
        <is>
          <t>5.6</t>
        </is>
      </c>
      <c r="B39" s="8" t="n"/>
      <c r="C39" s="5" t="inlineStr">
        <is>
          <t>Activity</t>
        </is>
      </c>
      <c r="D39" s="2" t="n"/>
      <c r="E39" s="6" t="n"/>
      <c r="F39" s="7">
        <f>IF(OR($E39="",$D39=""),"",WORKDAY($E39,MAX($D39-1,0)))</f>
        <v/>
      </c>
      <c r="G39" s="2">
        <f>IF(OR($B39="",$B38=""),"","5.5:FS")</f>
        <v/>
      </c>
      <c r="H39" s="5" t="n"/>
    </row>
    <row r="40">
      <c r="A40" s="5" t="inlineStr">
        <is>
          <t>6.0</t>
        </is>
      </c>
      <c r="B40" s="2" t="n"/>
      <c r="C40" s="5" t="inlineStr">
        <is>
          <t>Deliverable</t>
        </is>
      </c>
      <c r="D40" s="2" t="n"/>
      <c r="E40" s="6" t="n"/>
      <c r="F40" s="7">
        <f>IF(OR($E40="",$D40=""),"",WORKDAY($E40,MAX($D40-1,0)))</f>
        <v/>
      </c>
      <c r="G40" s="2">
        <f>IF(OR($B40="",$B33=""),"","5.0:FS")</f>
        <v/>
      </c>
      <c r="H40" s="5" t="n"/>
    </row>
    <row r="41">
      <c r="A41" s="5" t="inlineStr">
        <is>
          <t>6.1</t>
        </is>
      </c>
      <c r="B41" s="8" t="n"/>
      <c r="C41" s="5" t="inlineStr">
        <is>
          <t>Activity</t>
        </is>
      </c>
      <c r="D41" s="2" t="n"/>
      <c r="E41" s="6" t="n"/>
      <c r="F41" s="7">
        <f>IF(OR($E41="",$D41=""),"",WORKDAY($E41,MAX($D41-1,0)))</f>
        <v/>
      </c>
      <c r="G41" s="2" t="n"/>
      <c r="H41" s="5" t="n"/>
    </row>
    <row r="42">
      <c r="A42" s="5" t="inlineStr">
        <is>
          <t>6.2</t>
        </is>
      </c>
      <c r="B42" s="8" t="n"/>
      <c r="C42" s="5" t="inlineStr">
        <is>
          <t>Activity</t>
        </is>
      </c>
      <c r="D42" s="2" t="n"/>
      <c r="E42" s="6" t="n"/>
      <c r="F42" s="7">
        <f>IF(OR($E42="",$D42=""),"",WORKDAY($E42,MAX($D42-1,0)))</f>
        <v/>
      </c>
      <c r="G42" s="2">
        <f>IF(OR($B42="",$B41=""),"","6.1:FS")</f>
        <v/>
      </c>
      <c r="H42" s="5" t="n"/>
    </row>
    <row r="43">
      <c r="A43" s="5" t="inlineStr">
        <is>
          <t>6.3</t>
        </is>
      </c>
      <c r="B43" s="8" t="n"/>
      <c r="C43" s="5" t="inlineStr">
        <is>
          <t>Activity</t>
        </is>
      </c>
      <c r="D43" s="2" t="n"/>
      <c r="E43" s="6" t="n"/>
      <c r="F43" s="7">
        <f>IF(OR($E43="",$D43=""),"",WORKDAY($E43,MAX($D43-1,0)))</f>
        <v/>
      </c>
      <c r="G43" s="2">
        <f>IF(OR($B43="",$B42=""),"","6.2:FS")</f>
        <v/>
      </c>
      <c r="H43" s="5" t="n"/>
    </row>
    <row r="44">
      <c r="A44" s="5" t="inlineStr">
        <is>
          <t>6.4</t>
        </is>
      </c>
      <c r="B44" s="8" t="n"/>
      <c r="C44" s="5" t="inlineStr">
        <is>
          <t>Activity</t>
        </is>
      </c>
      <c r="D44" s="2" t="n"/>
      <c r="E44" s="6" t="n"/>
      <c r="F44" s="7">
        <f>IF(OR($E44="",$D44=""),"",WORKDAY($E44,MAX($D44-1,0)))</f>
        <v/>
      </c>
      <c r="G44" s="2">
        <f>IF(OR($B44="",$B43=""),"","6.3:FS")</f>
        <v/>
      </c>
      <c r="H44" s="5" t="n"/>
    </row>
    <row r="45">
      <c r="A45" s="5" t="inlineStr">
        <is>
          <t>6.5</t>
        </is>
      </c>
      <c r="B45" s="8" t="n"/>
      <c r="C45" s="5" t="inlineStr">
        <is>
          <t>Activity</t>
        </is>
      </c>
      <c r="D45" s="2" t="n"/>
      <c r="E45" s="6" t="n"/>
      <c r="F45" s="7">
        <f>IF(OR($E45="",$D45=""),"",WORKDAY($E45,MAX($D45-1,0)))</f>
        <v/>
      </c>
      <c r="G45" s="2">
        <f>IF(OR($B45="",$B44=""),"","6.4:FS")</f>
        <v/>
      </c>
      <c r="H45" s="5" t="n"/>
    </row>
    <row r="46">
      <c r="A46" s="5" t="inlineStr">
        <is>
          <t>6.6</t>
        </is>
      </c>
      <c r="B46" s="8" t="n"/>
      <c r="C46" s="5" t="inlineStr">
        <is>
          <t>Activity</t>
        </is>
      </c>
      <c r="D46" s="2" t="n"/>
      <c r="E46" s="6" t="n"/>
      <c r="F46" s="7">
        <f>IF(OR($E46="",$D46=""),"",WORKDAY($E46,MAX($D46-1,0)))</f>
        <v/>
      </c>
      <c r="G46" s="2">
        <f>IF(OR($B46="",$B45=""),"","6.5:FS")</f>
        <v/>
      </c>
      <c r="H46" s="5" t="n"/>
    </row>
    <row r="47">
      <c r="A47" s="5" t="inlineStr">
        <is>
          <t>7.0</t>
        </is>
      </c>
      <c r="B47" s="2" t="n"/>
      <c r="C47" s="5" t="inlineStr">
        <is>
          <t>Deliverable</t>
        </is>
      </c>
      <c r="D47" s="2" t="n"/>
      <c r="E47" s="6" t="n"/>
      <c r="F47" s="7">
        <f>IF(OR($E47="",$D47=""),"",WORKDAY($E47,MAX($D47-1,0)))</f>
        <v/>
      </c>
      <c r="G47" s="2">
        <f>IF(OR($B47="",$B40=""),"","6.0:FS")</f>
        <v/>
      </c>
      <c r="H47" s="5" t="n"/>
    </row>
    <row r="48">
      <c r="A48" s="5" t="inlineStr">
        <is>
          <t>7.1</t>
        </is>
      </c>
      <c r="B48" s="8" t="n"/>
      <c r="C48" s="5" t="inlineStr">
        <is>
          <t>Activity</t>
        </is>
      </c>
      <c r="D48" s="2" t="n"/>
      <c r="E48" s="6" t="n"/>
      <c r="F48" s="7">
        <f>IF(OR($E48="",$D48=""),"",WORKDAY($E48,MAX($D48-1,0)))</f>
        <v/>
      </c>
      <c r="G48" s="2" t="n"/>
      <c r="H48" s="5" t="n"/>
    </row>
    <row r="49">
      <c r="A49" s="5" t="inlineStr">
        <is>
          <t>7.2</t>
        </is>
      </c>
      <c r="B49" s="8" t="n"/>
      <c r="C49" s="5" t="inlineStr">
        <is>
          <t>Activity</t>
        </is>
      </c>
      <c r="D49" s="2" t="n"/>
      <c r="E49" s="6" t="n"/>
      <c r="F49" s="7">
        <f>IF(OR($E49="",$D49=""),"",WORKDAY($E49,MAX($D49-1,0)))</f>
        <v/>
      </c>
      <c r="G49" s="2">
        <f>IF(OR($B49="",$B48=""),"","7.1:FS")</f>
        <v/>
      </c>
      <c r="H49" s="5" t="n"/>
    </row>
    <row r="50">
      <c r="A50" s="5" t="inlineStr">
        <is>
          <t>7.3</t>
        </is>
      </c>
      <c r="B50" s="8" t="n"/>
      <c r="C50" s="5" t="inlineStr">
        <is>
          <t>Activity</t>
        </is>
      </c>
      <c r="D50" s="2" t="n"/>
      <c r="E50" s="6" t="n"/>
      <c r="F50" s="7">
        <f>IF(OR($E50="",$D50=""),"",WORKDAY($E50,MAX($D50-1,0)))</f>
        <v/>
      </c>
      <c r="G50" s="2">
        <f>IF(OR($B50="",$B49=""),"","7.2:FS")</f>
        <v/>
      </c>
      <c r="H50" s="5" t="n"/>
    </row>
    <row r="51">
      <c r="A51" s="5" t="inlineStr">
        <is>
          <t>7.4</t>
        </is>
      </c>
      <c r="B51" s="8" t="n"/>
      <c r="C51" s="5" t="inlineStr">
        <is>
          <t>Activity</t>
        </is>
      </c>
      <c r="D51" s="2" t="n"/>
      <c r="E51" s="6" t="n"/>
      <c r="F51" s="7">
        <f>IF(OR($E51="",$D51=""),"",WORKDAY($E51,MAX($D51-1,0)))</f>
        <v/>
      </c>
      <c r="G51" s="2">
        <f>IF(OR($B51="",$B50=""),"","7.3:FS")</f>
        <v/>
      </c>
      <c r="H51" s="5" t="n"/>
    </row>
    <row r="52">
      <c r="A52" s="5" t="inlineStr">
        <is>
          <t>7.5</t>
        </is>
      </c>
      <c r="B52" s="8" t="n"/>
      <c r="C52" s="5" t="inlineStr">
        <is>
          <t>Activity</t>
        </is>
      </c>
      <c r="D52" s="2" t="n"/>
      <c r="E52" s="6" t="n"/>
      <c r="F52" s="7">
        <f>IF(OR($E52="",$D52=""),"",WORKDAY($E52,MAX($D52-1,0)))</f>
        <v/>
      </c>
      <c r="G52" s="2">
        <f>IF(OR($B52="",$B51=""),"","7.4:FS")</f>
        <v/>
      </c>
      <c r="H52" s="5" t="n"/>
    </row>
    <row r="53">
      <c r="A53" s="5" t="inlineStr">
        <is>
          <t>7.6</t>
        </is>
      </c>
      <c r="B53" s="8" t="n"/>
      <c r="C53" s="5" t="inlineStr">
        <is>
          <t>Activity</t>
        </is>
      </c>
      <c r="D53" s="2" t="n"/>
      <c r="E53" s="6" t="n"/>
      <c r="F53" s="7">
        <f>IF(OR($E53="",$D53=""),"",WORKDAY($E53,MAX($D53-1,0)))</f>
        <v/>
      </c>
      <c r="G53" s="2">
        <f>IF(OR($B53="",$B52=""),"","7.5:FS")</f>
        <v/>
      </c>
      <c r="H53" s="5" t="n"/>
    </row>
    <row r="54">
      <c r="A54" s="5" t="inlineStr">
        <is>
          <t>8.0</t>
        </is>
      </c>
      <c r="B54" s="2" t="n"/>
      <c r="C54" s="5" t="inlineStr">
        <is>
          <t>Deliverable</t>
        </is>
      </c>
      <c r="D54" s="2" t="n"/>
      <c r="E54" s="6" t="n"/>
      <c r="F54" s="7">
        <f>IF(OR($E54="",$D54=""),"",WORKDAY($E54,MAX($D54-1,0)))</f>
        <v/>
      </c>
      <c r="G54" s="2">
        <f>IF(OR($B54="",$B47=""),"","7.0:FS")</f>
        <v/>
      </c>
      <c r="H54" s="5" t="n"/>
    </row>
    <row r="55">
      <c r="A55" s="5" t="inlineStr">
        <is>
          <t>8.1</t>
        </is>
      </c>
      <c r="B55" s="8" t="n"/>
      <c r="C55" s="5" t="inlineStr">
        <is>
          <t>Activity</t>
        </is>
      </c>
      <c r="D55" s="2" t="n"/>
      <c r="E55" s="6" t="n"/>
      <c r="F55" s="7">
        <f>IF(OR($E55="",$D55=""),"",WORKDAY($E55,MAX($D55-1,0)))</f>
        <v/>
      </c>
      <c r="G55" s="2" t="n"/>
      <c r="H55" s="5" t="n"/>
    </row>
    <row r="56">
      <c r="A56" s="5" t="inlineStr">
        <is>
          <t>8.2</t>
        </is>
      </c>
      <c r="B56" s="8" t="n"/>
      <c r="C56" s="5" t="inlineStr">
        <is>
          <t>Activity</t>
        </is>
      </c>
      <c r="D56" s="2" t="n"/>
      <c r="E56" s="6" t="n"/>
      <c r="F56" s="7">
        <f>IF(OR($E56="",$D56=""),"",WORKDAY($E56,MAX($D56-1,0)))</f>
        <v/>
      </c>
      <c r="G56" s="2">
        <f>IF(OR($B56="",$B55=""),"","8.1:FS")</f>
        <v/>
      </c>
      <c r="H56" s="5" t="n"/>
    </row>
    <row r="57">
      <c r="A57" s="5" t="inlineStr">
        <is>
          <t>8.3</t>
        </is>
      </c>
      <c r="B57" s="8" t="n"/>
      <c r="C57" s="5" t="inlineStr">
        <is>
          <t>Activity</t>
        </is>
      </c>
      <c r="D57" s="2" t="n"/>
      <c r="E57" s="6" t="n"/>
      <c r="F57" s="7">
        <f>IF(OR($E57="",$D57=""),"",WORKDAY($E57,MAX($D57-1,0)))</f>
        <v/>
      </c>
      <c r="G57" s="2">
        <f>IF(OR($B57="",$B56=""),"","8.2:FS")</f>
        <v/>
      </c>
      <c r="H57" s="5" t="n"/>
    </row>
    <row r="58">
      <c r="A58" s="5" t="inlineStr">
        <is>
          <t>8.4</t>
        </is>
      </c>
      <c r="B58" s="8" t="n"/>
      <c r="C58" s="5" t="inlineStr">
        <is>
          <t>Activity</t>
        </is>
      </c>
      <c r="D58" s="2" t="n"/>
      <c r="E58" s="6" t="n"/>
      <c r="F58" s="7">
        <f>IF(OR($E58="",$D58=""),"",WORKDAY($E58,MAX($D58-1,0)))</f>
        <v/>
      </c>
      <c r="G58" s="2">
        <f>IF(OR($B58="",$B57=""),"","8.3:FS")</f>
        <v/>
      </c>
      <c r="H58" s="5" t="n"/>
    </row>
    <row r="59">
      <c r="A59" s="5" t="inlineStr">
        <is>
          <t>8.5</t>
        </is>
      </c>
      <c r="B59" s="8" t="n"/>
      <c r="C59" s="5" t="inlineStr">
        <is>
          <t>Activity</t>
        </is>
      </c>
      <c r="D59" s="2" t="n"/>
      <c r="E59" s="6" t="n"/>
      <c r="F59" s="7">
        <f>IF(OR($E59="",$D59=""),"",WORKDAY($E59,MAX($D59-1,0)))</f>
        <v/>
      </c>
      <c r="G59" s="2">
        <f>IF(OR($B59="",$B58=""),"","8.4:FS")</f>
        <v/>
      </c>
      <c r="H59" s="5" t="n"/>
    </row>
    <row r="60">
      <c r="A60" s="5" t="inlineStr">
        <is>
          <t>8.6</t>
        </is>
      </c>
      <c r="B60" s="8" t="n"/>
      <c r="C60" s="5" t="inlineStr">
        <is>
          <t>Activity</t>
        </is>
      </c>
      <c r="D60" s="2" t="n"/>
      <c r="E60" s="6" t="n"/>
      <c r="F60" s="7">
        <f>IF(OR($E60="",$D60=""),"",WORKDAY($E60,MAX($D60-1,0)))</f>
        <v/>
      </c>
      <c r="G60" s="2">
        <f>IF(OR($B60="",$B59=""),"","8.5:FS")</f>
        <v/>
      </c>
      <c r="H60" s="5" t="n"/>
    </row>
    <row r="61">
      <c r="A61" s="4" t="n"/>
      <c r="B61" s="2" t="n"/>
      <c r="C61" s="4" t="inlineStr">
        <is>
          <t>WBS Header</t>
        </is>
      </c>
      <c r="D61" s="4" t="n"/>
      <c r="E61" s="4" t="n"/>
      <c r="F61" s="4" t="n"/>
      <c r="G61" s="4" t="n"/>
      <c r="H61" s="4" t="n"/>
    </row>
    <row r="62">
      <c r="A62" s="5" t="inlineStr">
        <is>
          <t>9.0</t>
        </is>
      </c>
      <c r="B62" s="2" t="n"/>
      <c r="C62" s="5" t="inlineStr">
        <is>
          <t>Deliverable</t>
        </is>
      </c>
      <c r="D62" s="2" t="n"/>
      <c r="E62" s="6" t="n"/>
      <c r="F62" s="7">
        <f>IF(OR($E62="",$D62=""),"",WORKDAY($E62,MAX($D62-1,0)))</f>
        <v/>
      </c>
      <c r="G62" s="2">
        <f>IF(OR($B62="",$B54=""),"","8.0:FS")</f>
        <v/>
      </c>
      <c r="H62" s="5" t="n"/>
    </row>
    <row r="63">
      <c r="A63" s="5" t="inlineStr">
        <is>
          <t>9.1</t>
        </is>
      </c>
      <c r="B63" s="8" t="n"/>
      <c r="C63" s="5" t="inlineStr">
        <is>
          <t>Activity</t>
        </is>
      </c>
      <c r="D63" s="2" t="n"/>
      <c r="E63" s="6" t="n"/>
      <c r="F63" s="7">
        <f>IF(OR($E63="",$D63=""),"",WORKDAY($E63,MAX($D63-1,0)))</f>
        <v/>
      </c>
      <c r="G63" s="2" t="n"/>
      <c r="H63" s="5" t="n"/>
    </row>
    <row r="64">
      <c r="A64" s="5" t="inlineStr">
        <is>
          <t>9.2</t>
        </is>
      </c>
      <c r="B64" s="8" t="n"/>
      <c r="C64" s="5" t="inlineStr">
        <is>
          <t>Activity</t>
        </is>
      </c>
      <c r="D64" s="2" t="n"/>
      <c r="E64" s="6" t="n"/>
      <c r="F64" s="7">
        <f>IF(OR($E64="",$D64=""),"",WORKDAY($E64,MAX($D64-1,0)))</f>
        <v/>
      </c>
      <c r="G64" s="2">
        <f>IF(OR($B64="",$B63=""),"","9.1:FS")</f>
        <v/>
      </c>
      <c r="H64" s="5" t="n"/>
    </row>
    <row r="65">
      <c r="A65" s="5" t="inlineStr">
        <is>
          <t>9.3</t>
        </is>
      </c>
      <c r="B65" s="8" t="n"/>
      <c r="C65" s="5" t="inlineStr">
        <is>
          <t>Activity</t>
        </is>
      </c>
      <c r="D65" s="2" t="n"/>
      <c r="E65" s="6" t="n"/>
      <c r="F65" s="7">
        <f>IF(OR($E65="",$D65=""),"",WORKDAY($E65,MAX($D65-1,0)))</f>
        <v/>
      </c>
      <c r="G65" s="2">
        <f>IF(OR($B65="",$B64=""),"","9.2:FS")</f>
        <v/>
      </c>
      <c r="H65" s="5" t="n"/>
    </row>
    <row r="66">
      <c r="A66" s="5" t="inlineStr">
        <is>
          <t>9.4</t>
        </is>
      </c>
      <c r="B66" s="8" t="n"/>
      <c r="C66" s="5" t="inlineStr">
        <is>
          <t>Activity</t>
        </is>
      </c>
      <c r="D66" s="2" t="n"/>
      <c r="E66" s="6" t="n"/>
      <c r="F66" s="7">
        <f>IF(OR($E66="",$D66=""),"",WORKDAY($E66,MAX($D66-1,0)))</f>
        <v/>
      </c>
      <c r="G66" s="2">
        <f>IF(OR($B66="",$B65=""),"","9.3:FS")</f>
        <v/>
      </c>
      <c r="H66" s="5" t="n"/>
    </row>
    <row r="67">
      <c r="A67" s="5" t="inlineStr">
        <is>
          <t>9.5</t>
        </is>
      </c>
      <c r="B67" s="8" t="n"/>
      <c r="C67" s="5" t="inlineStr">
        <is>
          <t>Activity</t>
        </is>
      </c>
      <c r="D67" s="2" t="n"/>
      <c r="E67" s="6" t="n"/>
      <c r="F67" s="7">
        <f>IF(OR($E67="",$D67=""),"",WORKDAY($E67,MAX($D67-1,0)))</f>
        <v/>
      </c>
      <c r="G67" s="2">
        <f>IF(OR($B67="",$B66=""),"","9.4:FS")</f>
        <v/>
      </c>
      <c r="H67" s="5" t="n"/>
    </row>
    <row r="68">
      <c r="A68" s="5" t="inlineStr">
        <is>
          <t>9.6</t>
        </is>
      </c>
      <c r="B68" s="8" t="n"/>
      <c r="C68" s="5" t="inlineStr">
        <is>
          <t>Activity</t>
        </is>
      </c>
      <c r="D68" s="2" t="n"/>
      <c r="E68" s="6" t="n"/>
      <c r="F68" s="7">
        <f>IF(OR($E68="",$D68=""),"",WORKDAY($E68,MAX($D68-1,0)))</f>
        <v/>
      </c>
      <c r="G68" s="2">
        <f>IF(OR($B68="",$B67=""),"","9.5:FS")</f>
        <v/>
      </c>
      <c r="H68" s="5" t="n"/>
    </row>
    <row r="69">
      <c r="A69" s="5" t="inlineStr">
        <is>
          <t>10.0</t>
        </is>
      </c>
      <c r="B69" s="2" t="n"/>
      <c r="C69" s="5" t="inlineStr">
        <is>
          <t>Deliverable</t>
        </is>
      </c>
      <c r="D69" s="2" t="n"/>
      <c r="E69" s="6" t="n"/>
      <c r="F69" s="7">
        <f>IF(OR($E69="",$D69=""),"",WORKDAY($E69,MAX($D69-1,0)))</f>
        <v/>
      </c>
      <c r="G69" s="2">
        <f>IF(OR($B69="",$B62=""),"","9.0:FS")</f>
        <v/>
      </c>
      <c r="H69" s="5" t="n"/>
    </row>
    <row r="70">
      <c r="A70" s="5" t="inlineStr">
        <is>
          <t>10.1</t>
        </is>
      </c>
      <c r="B70" s="8" t="n"/>
      <c r="C70" s="5" t="inlineStr">
        <is>
          <t>Activity</t>
        </is>
      </c>
      <c r="D70" s="2" t="n"/>
      <c r="E70" s="6" t="n"/>
      <c r="F70" s="7">
        <f>IF(OR($E70="",$D70=""),"",WORKDAY($E70,MAX($D70-1,0)))</f>
        <v/>
      </c>
      <c r="G70" s="2" t="n"/>
      <c r="H70" s="5" t="n"/>
    </row>
    <row r="71">
      <c r="A71" s="5" t="inlineStr">
        <is>
          <t>10.2</t>
        </is>
      </c>
      <c r="B71" s="8" t="n"/>
      <c r="C71" s="5" t="inlineStr">
        <is>
          <t>Activity</t>
        </is>
      </c>
      <c r="D71" s="2" t="n"/>
      <c r="E71" s="6" t="n"/>
      <c r="F71" s="7">
        <f>IF(OR($E71="",$D71=""),"",WORKDAY($E71,MAX($D71-1,0)))</f>
        <v/>
      </c>
      <c r="G71" s="2">
        <f>IF(OR($B71="",$B70=""),"","10.1:FS")</f>
        <v/>
      </c>
      <c r="H71" s="5" t="n"/>
    </row>
    <row r="72">
      <c r="A72" s="5" t="inlineStr">
        <is>
          <t>10.3</t>
        </is>
      </c>
      <c r="B72" s="8" t="n"/>
      <c r="C72" s="5" t="inlineStr">
        <is>
          <t>Activity</t>
        </is>
      </c>
      <c r="D72" s="2" t="n"/>
      <c r="E72" s="6" t="n"/>
      <c r="F72" s="7">
        <f>IF(OR($E72="",$D72=""),"",WORKDAY($E72,MAX($D72-1,0)))</f>
        <v/>
      </c>
      <c r="G72" s="2">
        <f>IF(OR($B72="",$B71=""),"","10.2:FS")</f>
        <v/>
      </c>
      <c r="H72" s="5" t="n"/>
    </row>
    <row r="73">
      <c r="A73" s="5" t="inlineStr">
        <is>
          <t>10.4</t>
        </is>
      </c>
      <c r="B73" s="8" t="n"/>
      <c r="C73" s="5" t="inlineStr">
        <is>
          <t>Activity</t>
        </is>
      </c>
      <c r="D73" s="2" t="n"/>
      <c r="E73" s="6" t="n"/>
      <c r="F73" s="7">
        <f>IF(OR($E73="",$D73=""),"",WORKDAY($E73,MAX($D73-1,0)))</f>
        <v/>
      </c>
      <c r="G73" s="2">
        <f>IF(OR($B73="",$B72=""),"","10.3:FS")</f>
        <v/>
      </c>
      <c r="H73" s="5" t="n"/>
    </row>
    <row r="74">
      <c r="A74" s="5" t="inlineStr">
        <is>
          <t>10.5</t>
        </is>
      </c>
      <c r="B74" s="8" t="n"/>
      <c r="C74" s="5" t="inlineStr">
        <is>
          <t>Activity</t>
        </is>
      </c>
      <c r="D74" s="2" t="n"/>
      <c r="E74" s="6" t="n"/>
      <c r="F74" s="7">
        <f>IF(OR($E74="",$D74=""),"",WORKDAY($E74,MAX($D74-1,0)))</f>
        <v/>
      </c>
      <c r="G74" s="2">
        <f>IF(OR($B74="",$B73=""),"","10.4:FS")</f>
        <v/>
      </c>
      <c r="H74" s="5" t="n"/>
    </row>
    <row r="75">
      <c r="A75" s="5" t="inlineStr">
        <is>
          <t>10.6</t>
        </is>
      </c>
      <c r="B75" s="8" t="n"/>
      <c r="C75" s="5" t="inlineStr">
        <is>
          <t>Activity</t>
        </is>
      </c>
      <c r="D75" s="2" t="n"/>
      <c r="E75" s="6" t="n"/>
      <c r="F75" s="7">
        <f>IF(OR($E75="",$D75=""),"",WORKDAY($E75,MAX($D75-1,0)))</f>
        <v/>
      </c>
      <c r="G75" s="2">
        <f>IF(OR($B75="",$B74=""),"","10.5:FS")</f>
        <v/>
      </c>
      <c r="H75" s="5" t="n"/>
    </row>
    <row r="76">
      <c r="A76" s="5" t="inlineStr">
        <is>
          <t>11.0</t>
        </is>
      </c>
      <c r="B76" s="2" t="n"/>
      <c r="C76" s="5" t="inlineStr">
        <is>
          <t>Deliverable</t>
        </is>
      </c>
      <c r="D76" s="2" t="n"/>
      <c r="E76" s="6" t="n"/>
      <c r="F76" s="7">
        <f>IF(OR($E76="",$D76=""),"",WORKDAY($E76,MAX($D76-1,0)))</f>
        <v/>
      </c>
      <c r="G76" s="2">
        <f>IF(OR($B76="",$B69=""),"","10.0:FS")</f>
        <v/>
      </c>
      <c r="H76" s="5" t="n"/>
    </row>
    <row r="77">
      <c r="A77" s="5" t="inlineStr">
        <is>
          <t>11.1</t>
        </is>
      </c>
      <c r="B77" s="8" t="n"/>
      <c r="C77" s="5" t="inlineStr">
        <is>
          <t>Activity</t>
        </is>
      </c>
      <c r="D77" s="2" t="n"/>
      <c r="E77" s="6" t="n"/>
      <c r="F77" s="7">
        <f>IF(OR($E77="",$D77=""),"",WORKDAY($E77,MAX($D77-1,0)))</f>
        <v/>
      </c>
      <c r="G77" s="2" t="n"/>
      <c r="H77" s="5" t="n"/>
    </row>
    <row r="78">
      <c r="A78" s="5" t="inlineStr">
        <is>
          <t>11.2</t>
        </is>
      </c>
      <c r="B78" s="8" t="n"/>
      <c r="C78" s="5" t="inlineStr">
        <is>
          <t>Activity</t>
        </is>
      </c>
      <c r="D78" s="2" t="n"/>
      <c r="E78" s="6" t="n"/>
      <c r="F78" s="7">
        <f>IF(OR($E78="",$D78=""),"",WORKDAY($E78,MAX($D78-1,0)))</f>
        <v/>
      </c>
      <c r="G78" s="2">
        <f>IF(OR($B78="",$B77=""),"","11.1:FS")</f>
        <v/>
      </c>
      <c r="H78" s="5" t="n"/>
    </row>
    <row r="79">
      <c r="A79" s="5" t="inlineStr">
        <is>
          <t>11.3</t>
        </is>
      </c>
      <c r="B79" s="8" t="n"/>
      <c r="C79" s="5" t="inlineStr">
        <is>
          <t>Activity</t>
        </is>
      </c>
      <c r="D79" s="2" t="n"/>
      <c r="E79" s="6" t="n"/>
      <c r="F79" s="7">
        <f>IF(OR($E79="",$D79=""),"",WORKDAY($E79,MAX($D79-1,0)))</f>
        <v/>
      </c>
      <c r="G79" s="2">
        <f>IF(OR($B79="",$B78=""),"","11.2:FS")</f>
        <v/>
      </c>
      <c r="H79" s="5" t="n"/>
    </row>
    <row r="80">
      <c r="A80" s="5" t="inlineStr">
        <is>
          <t>11.4</t>
        </is>
      </c>
      <c r="B80" s="8" t="n"/>
      <c r="C80" s="5" t="inlineStr">
        <is>
          <t>Activity</t>
        </is>
      </c>
      <c r="D80" s="2" t="n"/>
      <c r="E80" s="6" t="n"/>
      <c r="F80" s="7">
        <f>IF(OR($E80="",$D80=""),"",WORKDAY($E80,MAX($D80-1,0)))</f>
        <v/>
      </c>
      <c r="G80" s="2">
        <f>IF(OR($B80="",$B79=""),"","11.3:FS")</f>
        <v/>
      </c>
      <c r="H80" s="5" t="n"/>
    </row>
    <row r="81">
      <c r="A81" s="5" t="inlineStr">
        <is>
          <t>11.5</t>
        </is>
      </c>
      <c r="B81" s="8" t="n"/>
      <c r="C81" s="5" t="inlineStr">
        <is>
          <t>Activity</t>
        </is>
      </c>
      <c r="D81" s="2" t="n"/>
      <c r="E81" s="6" t="n"/>
      <c r="F81" s="7">
        <f>IF(OR($E81="",$D81=""),"",WORKDAY($E81,MAX($D81-1,0)))</f>
        <v/>
      </c>
      <c r="G81" s="2">
        <f>IF(OR($B81="",$B80=""),"","11.4:FS")</f>
        <v/>
      </c>
      <c r="H81" s="5" t="n"/>
    </row>
    <row r="82">
      <c r="A82" s="5" t="inlineStr">
        <is>
          <t>11.6</t>
        </is>
      </c>
      <c r="B82" s="8" t="n"/>
      <c r="C82" s="5" t="inlineStr">
        <is>
          <t>Activity</t>
        </is>
      </c>
      <c r="D82" s="2" t="n"/>
      <c r="E82" s="6" t="n"/>
      <c r="F82" s="7">
        <f>IF(OR($E82="",$D82=""),"",WORKDAY($E82,MAX($D82-1,0)))</f>
        <v/>
      </c>
      <c r="G82" s="2">
        <f>IF(OR($B82="",$B81=""),"","11.5:FS")</f>
        <v/>
      </c>
      <c r="H82" s="5" t="n"/>
    </row>
    <row r="83">
      <c r="A83" s="5" t="inlineStr">
        <is>
          <t>12.0</t>
        </is>
      </c>
      <c r="B83" s="2" t="n"/>
      <c r="C83" s="5" t="inlineStr">
        <is>
          <t>Deliverable</t>
        </is>
      </c>
      <c r="D83" s="2" t="n"/>
      <c r="E83" s="6" t="n"/>
      <c r="F83" s="7">
        <f>IF(OR($E83="",$D83=""),"",WORKDAY($E83,MAX($D83-1,0)))</f>
        <v/>
      </c>
      <c r="G83" s="2">
        <f>IF(OR($B83="",$B76=""),"","11.0:FS")</f>
        <v/>
      </c>
      <c r="H83" s="5" t="n"/>
    </row>
    <row r="84">
      <c r="A84" s="5" t="inlineStr">
        <is>
          <t>12.1</t>
        </is>
      </c>
      <c r="B84" s="8" t="n"/>
      <c r="C84" s="5" t="inlineStr">
        <is>
          <t>Activity</t>
        </is>
      </c>
      <c r="D84" s="2" t="n"/>
      <c r="E84" s="6" t="n"/>
      <c r="F84" s="7">
        <f>IF(OR($E84="",$D84=""),"",WORKDAY($E84,MAX($D84-1,0)))</f>
        <v/>
      </c>
      <c r="G84" s="2" t="n"/>
      <c r="H84" s="5" t="n"/>
    </row>
    <row r="85">
      <c r="A85" s="5" t="inlineStr">
        <is>
          <t>12.2</t>
        </is>
      </c>
      <c r="B85" s="8" t="n"/>
      <c r="C85" s="5" t="inlineStr">
        <is>
          <t>Activity</t>
        </is>
      </c>
      <c r="D85" s="2" t="n"/>
      <c r="E85" s="6" t="n"/>
      <c r="F85" s="7">
        <f>IF(OR($E85="",$D85=""),"",WORKDAY($E85,MAX($D85-1,0)))</f>
        <v/>
      </c>
      <c r="G85" s="2">
        <f>IF(OR($B85="",$B84=""),"","12.1:FS")</f>
        <v/>
      </c>
      <c r="H85" s="5" t="n"/>
    </row>
    <row r="86">
      <c r="A86" s="5" t="inlineStr">
        <is>
          <t>12.3</t>
        </is>
      </c>
      <c r="B86" s="8" t="n"/>
      <c r="C86" s="5" t="inlineStr">
        <is>
          <t>Activity</t>
        </is>
      </c>
      <c r="D86" s="2" t="n"/>
      <c r="E86" s="6" t="n"/>
      <c r="F86" s="7">
        <f>IF(OR($E86="",$D86=""),"",WORKDAY($E86,MAX($D86-1,0)))</f>
        <v/>
      </c>
      <c r="G86" s="2">
        <f>IF(OR($B86="",$B85=""),"","12.2:FS")</f>
        <v/>
      </c>
      <c r="H86" s="5" t="n"/>
    </row>
    <row r="87">
      <c r="A87" s="5" t="inlineStr">
        <is>
          <t>12.4</t>
        </is>
      </c>
      <c r="B87" s="8" t="n"/>
      <c r="C87" s="5" t="inlineStr">
        <is>
          <t>Activity</t>
        </is>
      </c>
      <c r="D87" s="2" t="n"/>
      <c r="E87" s="6" t="n"/>
      <c r="F87" s="7">
        <f>IF(OR($E87="",$D87=""),"",WORKDAY($E87,MAX($D87-1,0)))</f>
        <v/>
      </c>
      <c r="G87" s="2">
        <f>IF(OR($B87="",$B86=""),"","12.3:FS")</f>
        <v/>
      </c>
      <c r="H87" s="5" t="n"/>
    </row>
    <row r="88">
      <c r="A88" s="5" t="inlineStr">
        <is>
          <t>12.5</t>
        </is>
      </c>
      <c r="B88" s="8" t="n"/>
      <c r="C88" s="5" t="inlineStr">
        <is>
          <t>Activity</t>
        </is>
      </c>
      <c r="D88" s="2" t="n"/>
      <c r="E88" s="6" t="n"/>
      <c r="F88" s="7">
        <f>IF(OR($E88="",$D88=""),"",WORKDAY($E88,MAX($D88-1,0)))</f>
        <v/>
      </c>
      <c r="G88" s="2">
        <f>IF(OR($B88="",$B87=""),"","12.4:FS")</f>
        <v/>
      </c>
      <c r="H88" s="5" t="n"/>
    </row>
    <row r="89">
      <c r="A89" s="5" t="inlineStr">
        <is>
          <t>12.6</t>
        </is>
      </c>
      <c r="B89" s="8" t="n"/>
      <c r="C89" s="5" t="inlineStr">
        <is>
          <t>Activity</t>
        </is>
      </c>
      <c r="D89" s="2" t="n"/>
      <c r="E89" s="6" t="n"/>
      <c r="F89" s="7">
        <f>IF(OR($E89="",$D89=""),"",WORKDAY($E89,MAX($D89-1,0)))</f>
        <v/>
      </c>
      <c r="G89" s="2">
        <f>IF(OR($B89="",$B88=""),"","12.5:FS")</f>
        <v/>
      </c>
      <c r="H89" s="5" t="n"/>
    </row>
    <row r="90">
      <c r="A90" s="4" t="n"/>
      <c r="B90" s="2" t="n"/>
      <c r="C90" s="4" t="inlineStr">
        <is>
          <t>WBS Header</t>
        </is>
      </c>
      <c r="D90" s="4" t="n"/>
      <c r="E90" s="4" t="n"/>
      <c r="F90" s="4" t="n"/>
      <c r="G90" s="4" t="n"/>
      <c r="H90" s="4" t="n"/>
    </row>
    <row r="91">
      <c r="A91" s="5" t="inlineStr">
        <is>
          <t>13.0</t>
        </is>
      </c>
      <c r="B91" s="2" t="n"/>
      <c r="C91" s="5" t="inlineStr">
        <is>
          <t>Deliverable</t>
        </is>
      </c>
      <c r="D91" s="2" t="n"/>
      <c r="E91" s="6" t="n"/>
      <c r="F91" s="7">
        <f>IF(OR($E91="",$D91=""),"",WORKDAY($E91,MAX($D91-1,0)))</f>
        <v/>
      </c>
      <c r="G91" s="2">
        <f>IF(OR($B91="",$B83=""),"","12.0:FS")</f>
        <v/>
      </c>
      <c r="H91" s="5" t="n"/>
    </row>
    <row r="92">
      <c r="A92" s="5" t="inlineStr">
        <is>
          <t>13.1</t>
        </is>
      </c>
      <c r="B92" s="8" t="n"/>
      <c r="C92" s="5" t="inlineStr">
        <is>
          <t>Activity</t>
        </is>
      </c>
      <c r="D92" s="2" t="n"/>
      <c r="E92" s="6" t="n"/>
      <c r="F92" s="7">
        <f>IF(OR($E92="",$D92=""),"",WORKDAY($E92,MAX($D92-1,0)))</f>
        <v/>
      </c>
      <c r="G92" s="2" t="n"/>
      <c r="H92" s="5" t="n"/>
    </row>
    <row r="93">
      <c r="A93" s="5" t="inlineStr">
        <is>
          <t>13.2</t>
        </is>
      </c>
      <c r="B93" s="8" t="n"/>
      <c r="C93" s="5" t="inlineStr">
        <is>
          <t>Activity</t>
        </is>
      </c>
      <c r="D93" s="2" t="n"/>
      <c r="E93" s="6" t="n"/>
      <c r="F93" s="7">
        <f>IF(OR($E93="",$D93=""),"",WORKDAY($E93,MAX($D93-1,0)))</f>
        <v/>
      </c>
      <c r="G93" s="2">
        <f>IF(OR($B93="",$B92=""),"","13.1:FS")</f>
        <v/>
      </c>
      <c r="H93" s="5" t="n"/>
    </row>
    <row r="94">
      <c r="A94" s="5" t="inlineStr">
        <is>
          <t>13.3</t>
        </is>
      </c>
      <c r="B94" s="8" t="n"/>
      <c r="C94" s="5" t="inlineStr">
        <is>
          <t>Activity</t>
        </is>
      </c>
      <c r="D94" s="2" t="n"/>
      <c r="E94" s="6" t="n"/>
      <c r="F94" s="7">
        <f>IF(OR($E94="",$D94=""),"",WORKDAY($E94,MAX($D94-1,0)))</f>
        <v/>
      </c>
      <c r="G94" s="2">
        <f>IF(OR($B94="",$B93=""),"","13.2:FS")</f>
        <v/>
      </c>
      <c r="H94" s="5" t="n"/>
    </row>
    <row r="95">
      <c r="A95" s="5" t="inlineStr">
        <is>
          <t>13.4</t>
        </is>
      </c>
      <c r="B95" s="8" t="n"/>
      <c r="C95" s="5" t="inlineStr">
        <is>
          <t>Activity</t>
        </is>
      </c>
      <c r="D95" s="2" t="n"/>
      <c r="E95" s="6" t="n"/>
      <c r="F95" s="7">
        <f>IF(OR($E95="",$D95=""),"",WORKDAY($E95,MAX($D95-1,0)))</f>
        <v/>
      </c>
      <c r="G95" s="2">
        <f>IF(OR($B95="",$B94=""),"","13.3:FS")</f>
        <v/>
      </c>
      <c r="H95" s="5" t="n"/>
    </row>
    <row r="96">
      <c r="A96" s="5" t="inlineStr">
        <is>
          <t>13.5</t>
        </is>
      </c>
      <c r="B96" s="8" t="n"/>
      <c r="C96" s="5" t="inlineStr">
        <is>
          <t>Activity</t>
        </is>
      </c>
      <c r="D96" s="2" t="n"/>
      <c r="E96" s="6" t="n"/>
      <c r="F96" s="7">
        <f>IF(OR($E96="",$D96=""),"",WORKDAY($E96,MAX($D96-1,0)))</f>
        <v/>
      </c>
      <c r="G96" s="2">
        <f>IF(OR($B96="",$B95=""),"","13.4:FS")</f>
        <v/>
      </c>
      <c r="H96" s="5" t="n"/>
    </row>
    <row r="97">
      <c r="A97" s="5" t="inlineStr">
        <is>
          <t>13.6</t>
        </is>
      </c>
      <c r="B97" s="8" t="n"/>
      <c r="C97" s="5" t="inlineStr">
        <is>
          <t>Activity</t>
        </is>
      </c>
      <c r="D97" s="2" t="n"/>
      <c r="E97" s="6" t="n"/>
      <c r="F97" s="7">
        <f>IF(OR($E97="",$D97=""),"",WORKDAY($E97,MAX($D97-1,0)))</f>
        <v/>
      </c>
      <c r="G97" s="2">
        <f>IF(OR($B97="",$B96=""),"","13.5:FS")</f>
        <v/>
      </c>
      <c r="H97" s="5" t="n"/>
    </row>
    <row r="98">
      <c r="A98" s="5" t="inlineStr">
        <is>
          <t>14.0</t>
        </is>
      </c>
      <c r="B98" s="2" t="n"/>
      <c r="C98" s="5" t="inlineStr">
        <is>
          <t>Deliverable</t>
        </is>
      </c>
      <c r="D98" s="2" t="n"/>
      <c r="E98" s="6" t="n"/>
      <c r="F98" s="7">
        <f>IF(OR($E98="",$D98=""),"",WORKDAY($E98,MAX($D98-1,0)))</f>
        <v/>
      </c>
      <c r="G98" s="2">
        <f>IF(OR($B98="",$B91=""),"","13.0:FS")</f>
        <v/>
      </c>
      <c r="H98" s="5" t="n"/>
    </row>
    <row r="99">
      <c r="A99" s="5" t="inlineStr">
        <is>
          <t>14.1</t>
        </is>
      </c>
      <c r="B99" s="8" t="n"/>
      <c r="C99" s="5" t="inlineStr">
        <is>
          <t>Activity</t>
        </is>
      </c>
      <c r="D99" s="2" t="n"/>
      <c r="E99" s="6" t="n"/>
      <c r="F99" s="7">
        <f>IF(OR($E99="",$D99=""),"",WORKDAY($E99,MAX($D99-1,0)))</f>
        <v/>
      </c>
      <c r="G99" s="2" t="n"/>
      <c r="H99" s="5" t="n"/>
    </row>
    <row r="100">
      <c r="A100" s="5" t="inlineStr">
        <is>
          <t>14.2</t>
        </is>
      </c>
      <c r="B100" s="8" t="n"/>
      <c r="C100" s="5" t="inlineStr">
        <is>
          <t>Activity</t>
        </is>
      </c>
      <c r="D100" s="2" t="n"/>
      <c r="E100" s="6" t="n"/>
      <c r="F100" s="7">
        <f>IF(OR($E100="",$D100=""),"",WORKDAY($E100,MAX($D100-1,0)))</f>
        <v/>
      </c>
      <c r="G100" s="2">
        <f>IF(OR($B100="",$B99=""),"","14.1:FS")</f>
        <v/>
      </c>
      <c r="H100" s="5" t="n"/>
    </row>
    <row r="101">
      <c r="A101" s="5" t="inlineStr">
        <is>
          <t>14.3</t>
        </is>
      </c>
      <c r="B101" s="8" t="n"/>
      <c r="C101" s="5" t="inlineStr">
        <is>
          <t>Activity</t>
        </is>
      </c>
      <c r="D101" s="2" t="n"/>
      <c r="E101" s="6" t="n"/>
      <c r="F101" s="7">
        <f>IF(OR($E101="",$D101=""),"",WORKDAY($E101,MAX($D101-1,0)))</f>
        <v/>
      </c>
      <c r="G101" s="2">
        <f>IF(OR($B101="",$B100=""),"","14.2:FS")</f>
        <v/>
      </c>
      <c r="H101" s="5" t="n"/>
    </row>
    <row r="102">
      <c r="A102" s="5" t="inlineStr">
        <is>
          <t>14.4</t>
        </is>
      </c>
      <c r="B102" s="8" t="n"/>
      <c r="C102" s="5" t="inlineStr">
        <is>
          <t>Activity</t>
        </is>
      </c>
      <c r="D102" s="2" t="n"/>
      <c r="E102" s="6" t="n"/>
      <c r="F102" s="7">
        <f>IF(OR($E102="",$D102=""),"",WORKDAY($E102,MAX($D102-1,0)))</f>
        <v/>
      </c>
      <c r="G102" s="2">
        <f>IF(OR($B102="",$B101=""),"","14.3:FS")</f>
        <v/>
      </c>
      <c r="H102" s="5" t="n"/>
    </row>
    <row r="103">
      <c r="A103" s="5" t="inlineStr">
        <is>
          <t>14.5</t>
        </is>
      </c>
      <c r="B103" s="8" t="n"/>
      <c r="C103" s="5" t="inlineStr">
        <is>
          <t>Activity</t>
        </is>
      </c>
      <c r="D103" s="2" t="n"/>
      <c r="E103" s="6" t="n"/>
      <c r="F103" s="7">
        <f>IF(OR($E103="",$D103=""),"",WORKDAY($E103,MAX($D103-1,0)))</f>
        <v/>
      </c>
      <c r="G103" s="2">
        <f>IF(OR($B103="",$B102=""),"","14.4:FS")</f>
        <v/>
      </c>
      <c r="H103" s="5" t="n"/>
    </row>
    <row r="104">
      <c r="A104" s="5" t="inlineStr">
        <is>
          <t>14.6</t>
        </is>
      </c>
      <c r="B104" s="8" t="n"/>
      <c r="C104" s="5" t="inlineStr">
        <is>
          <t>Activity</t>
        </is>
      </c>
      <c r="D104" s="2" t="n"/>
      <c r="E104" s="6" t="n"/>
      <c r="F104" s="7">
        <f>IF(OR($E104="",$D104=""),"",WORKDAY($E104,MAX($D104-1,0)))</f>
        <v/>
      </c>
      <c r="G104" s="2">
        <f>IF(OR($B104="",$B103=""),"","14.5:FS")</f>
        <v/>
      </c>
      <c r="H104" s="5" t="n"/>
    </row>
    <row r="105">
      <c r="A105" s="5" t="inlineStr">
        <is>
          <t>15.0</t>
        </is>
      </c>
      <c r="B105" s="2" t="n"/>
      <c r="C105" s="5" t="inlineStr">
        <is>
          <t>Deliverable</t>
        </is>
      </c>
      <c r="D105" s="2" t="n"/>
      <c r="E105" s="6" t="n"/>
      <c r="F105" s="7">
        <f>IF(OR($E105="",$D105=""),"",WORKDAY($E105,MAX($D105-1,0)))</f>
        <v/>
      </c>
      <c r="G105" s="2">
        <f>IF(OR($B105="",$B98=""),"","14.0:FS")</f>
        <v/>
      </c>
      <c r="H105" s="5" t="n"/>
    </row>
    <row r="106">
      <c r="A106" s="5" t="inlineStr">
        <is>
          <t>15.1</t>
        </is>
      </c>
      <c r="B106" s="8" t="n"/>
      <c r="C106" s="5" t="inlineStr">
        <is>
          <t>Activity</t>
        </is>
      </c>
      <c r="D106" s="2" t="n"/>
      <c r="E106" s="6" t="n"/>
      <c r="F106" s="7">
        <f>IF(OR($E106="",$D106=""),"",WORKDAY($E106,MAX($D106-1,0)))</f>
        <v/>
      </c>
      <c r="G106" s="2" t="n"/>
      <c r="H106" s="5" t="n"/>
    </row>
    <row r="107">
      <c r="A107" s="5" t="inlineStr">
        <is>
          <t>15.2</t>
        </is>
      </c>
      <c r="B107" s="8" t="n"/>
      <c r="C107" s="5" t="inlineStr">
        <is>
          <t>Activity</t>
        </is>
      </c>
      <c r="D107" s="2" t="n"/>
      <c r="E107" s="6" t="n"/>
      <c r="F107" s="7">
        <f>IF(OR($E107="",$D107=""),"",WORKDAY($E107,MAX($D107-1,0)))</f>
        <v/>
      </c>
      <c r="G107" s="2">
        <f>IF(OR($B107="",$B106=""),"","15.1:FS")</f>
        <v/>
      </c>
      <c r="H107" s="5" t="n"/>
    </row>
    <row r="108">
      <c r="A108" s="5" t="inlineStr">
        <is>
          <t>15.3</t>
        </is>
      </c>
      <c r="B108" s="8" t="n"/>
      <c r="C108" s="5" t="inlineStr">
        <is>
          <t>Activity</t>
        </is>
      </c>
      <c r="D108" s="2" t="n"/>
      <c r="E108" s="6" t="n"/>
      <c r="F108" s="7">
        <f>IF(OR($E108="",$D108=""),"",WORKDAY($E108,MAX($D108-1,0)))</f>
        <v/>
      </c>
      <c r="G108" s="2">
        <f>IF(OR($B108="",$B107=""),"","15.2:FS")</f>
        <v/>
      </c>
      <c r="H108" s="5" t="n"/>
    </row>
    <row r="109">
      <c r="A109" s="5" t="inlineStr">
        <is>
          <t>15.4</t>
        </is>
      </c>
      <c r="B109" s="8" t="n"/>
      <c r="C109" s="5" t="inlineStr">
        <is>
          <t>Activity</t>
        </is>
      </c>
      <c r="D109" s="2" t="n"/>
      <c r="E109" s="6" t="n"/>
      <c r="F109" s="7">
        <f>IF(OR($E109="",$D109=""),"",WORKDAY($E109,MAX($D109-1,0)))</f>
        <v/>
      </c>
      <c r="G109" s="2">
        <f>IF(OR($B109="",$B108=""),"","15.3:FS")</f>
        <v/>
      </c>
      <c r="H109" s="5" t="n"/>
    </row>
    <row r="110">
      <c r="A110" s="5" t="inlineStr">
        <is>
          <t>15.5</t>
        </is>
      </c>
      <c r="B110" s="8" t="n"/>
      <c r="C110" s="5" t="inlineStr">
        <is>
          <t>Activity</t>
        </is>
      </c>
      <c r="D110" s="2" t="n"/>
      <c r="E110" s="6" t="n"/>
      <c r="F110" s="7">
        <f>IF(OR($E110="",$D110=""),"",WORKDAY($E110,MAX($D110-1,0)))</f>
        <v/>
      </c>
      <c r="G110" s="2">
        <f>IF(OR($B110="",$B109=""),"","15.4:FS")</f>
        <v/>
      </c>
      <c r="H110" s="5" t="n"/>
    </row>
    <row r="111">
      <c r="A111" s="5" t="inlineStr">
        <is>
          <t>15.6</t>
        </is>
      </c>
      <c r="B111" s="8" t="n"/>
      <c r="C111" s="5" t="inlineStr">
        <is>
          <t>Activity</t>
        </is>
      </c>
      <c r="D111" s="2" t="n"/>
      <c r="E111" s="6" t="n"/>
      <c r="F111" s="7">
        <f>IF(OR($E111="",$D111=""),"",WORKDAY($E111,MAX($D111-1,0)))</f>
        <v/>
      </c>
      <c r="G111" s="2">
        <f>IF(OR($B111="",$B110=""),"","15.5:FS")</f>
        <v/>
      </c>
      <c r="H111" s="5" t="n"/>
    </row>
    <row r="112">
      <c r="A112" s="5" t="inlineStr">
        <is>
          <t>16.0</t>
        </is>
      </c>
      <c r="B112" s="2" t="n"/>
      <c r="C112" s="5" t="inlineStr">
        <is>
          <t>Deliverable</t>
        </is>
      </c>
      <c r="D112" s="2" t="n"/>
      <c r="E112" s="6" t="n"/>
      <c r="F112" s="7">
        <f>IF(OR($E112="",$D112=""),"",WORKDAY($E112,MAX($D112-1,0)))</f>
        <v/>
      </c>
      <c r="G112" s="2">
        <f>IF(OR($B112="",$B105=""),"","15.0:FS")</f>
        <v/>
      </c>
      <c r="H112" s="5" t="n"/>
    </row>
    <row r="113">
      <c r="A113" s="5" t="inlineStr">
        <is>
          <t>16.1</t>
        </is>
      </c>
      <c r="B113" s="8" t="n"/>
      <c r="C113" s="5" t="inlineStr">
        <is>
          <t>Activity</t>
        </is>
      </c>
      <c r="D113" s="2" t="n"/>
      <c r="E113" s="6" t="n"/>
      <c r="F113" s="7">
        <f>IF(OR($E113="",$D113=""),"",WORKDAY($E113,MAX($D113-1,0)))</f>
        <v/>
      </c>
      <c r="G113" s="2" t="n"/>
      <c r="H113" s="5" t="n"/>
    </row>
    <row r="114">
      <c r="A114" s="5" t="inlineStr">
        <is>
          <t>16.2</t>
        </is>
      </c>
      <c r="B114" s="8" t="n"/>
      <c r="C114" s="5" t="inlineStr">
        <is>
          <t>Activity</t>
        </is>
      </c>
      <c r="D114" s="2" t="n"/>
      <c r="E114" s="6" t="n"/>
      <c r="F114" s="7">
        <f>IF(OR($E114="",$D114=""),"",WORKDAY($E114,MAX($D114-1,0)))</f>
        <v/>
      </c>
      <c r="G114" s="2">
        <f>IF(OR($B114="",$B113=""),"","16.1:FS")</f>
        <v/>
      </c>
      <c r="H114" s="5" t="n"/>
    </row>
    <row r="115">
      <c r="A115" s="5" t="inlineStr">
        <is>
          <t>16.3</t>
        </is>
      </c>
      <c r="B115" s="8" t="n"/>
      <c r="C115" s="5" t="inlineStr">
        <is>
          <t>Activity</t>
        </is>
      </c>
      <c r="D115" s="2" t="n"/>
      <c r="E115" s="6" t="n"/>
      <c r="F115" s="7">
        <f>IF(OR($E115="",$D115=""),"",WORKDAY($E115,MAX($D115-1,0)))</f>
        <v/>
      </c>
      <c r="G115" s="2">
        <f>IF(OR($B115="",$B114=""),"","16.2:FS")</f>
        <v/>
      </c>
      <c r="H115" s="5" t="n"/>
    </row>
    <row r="116">
      <c r="A116" s="5" t="inlineStr">
        <is>
          <t>16.4</t>
        </is>
      </c>
      <c r="B116" s="8" t="n"/>
      <c r="C116" s="5" t="inlineStr">
        <is>
          <t>Activity</t>
        </is>
      </c>
      <c r="D116" s="2" t="n"/>
      <c r="E116" s="6" t="n"/>
      <c r="F116" s="7">
        <f>IF(OR($E116="",$D116=""),"",WORKDAY($E116,MAX($D116-1,0)))</f>
        <v/>
      </c>
      <c r="G116" s="2">
        <f>IF(OR($B116="",$B115=""),"","16.3:FS")</f>
        <v/>
      </c>
      <c r="H116" s="5" t="n"/>
    </row>
    <row r="117">
      <c r="A117" s="5" t="inlineStr">
        <is>
          <t>16.5</t>
        </is>
      </c>
      <c r="B117" s="8" t="n"/>
      <c r="C117" s="5" t="inlineStr">
        <is>
          <t>Activity</t>
        </is>
      </c>
      <c r="D117" s="2" t="n"/>
      <c r="E117" s="6" t="n"/>
      <c r="F117" s="7">
        <f>IF(OR($E117="",$D117=""),"",WORKDAY($E117,MAX($D117-1,0)))</f>
        <v/>
      </c>
      <c r="G117" s="2">
        <f>IF(OR($B117="",$B116=""),"","16.4:FS")</f>
        <v/>
      </c>
      <c r="H117" s="5" t="n"/>
    </row>
    <row r="118">
      <c r="A118" s="5" t="inlineStr">
        <is>
          <t>16.6</t>
        </is>
      </c>
      <c r="B118" s="8" t="n"/>
      <c r="C118" s="5" t="inlineStr">
        <is>
          <t>Activity</t>
        </is>
      </c>
      <c r="D118" s="2" t="n"/>
      <c r="E118" s="6" t="n"/>
      <c r="F118" s="7">
        <f>IF(OR($E118="",$D118=""),"",WORKDAY($E118,MAX($D118-1,0)))</f>
        <v/>
      </c>
      <c r="G118" s="2">
        <f>IF(OR($B118="",$B117=""),"","16.5:FS")</f>
        <v/>
      </c>
      <c r="H118" s="5" t="n"/>
    </row>
    <row r="120">
      <c r="A120" s="9" t="inlineStr">
        <is>
          <t>How it works: yellow = type here. Each phase has 4 ready deliverables; each deliverable has 6 ready activity rows — adding one is just typing a name on the next row (unused rows are ignored on import). Finish auto-computes from Start + Duration (working days). Predecessors auto-chain in order once rows are named — overwrite any cell (e.g. 2.0:FS+5) where the real logic differs. When done: select rows 1–118, copy, and paste into PREREQ → New Project → Paste a plan. See the Example sheet for a completed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3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Duration (d)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Predecessor</t>
        </is>
      </c>
      <c r="H1" s="1" t="inlineStr">
        <is>
          <t>Successor</t>
        </is>
      </c>
    </row>
    <row r="2">
      <c r="A2" s="10" t="n"/>
      <c r="B2" s="10" t="inlineStr">
        <is>
          <t>Substation Expansion — Example</t>
        </is>
      </c>
      <c r="C2" s="10" t="n"/>
      <c r="D2" s="10" t="n"/>
      <c r="E2" s="10" t="n"/>
      <c r="F2" s="10" t="n"/>
      <c r="G2" s="10" t="n"/>
      <c r="H2" s="10" t="n"/>
    </row>
    <row r="3">
      <c r="A3" s="10" t="n"/>
      <c r="B3" s="10" t="inlineStr">
        <is>
          <t>Engineering</t>
        </is>
      </c>
      <c r="C3" s="10" t="inlineStr">
        <is>
          <t>WBS Header</t>
        </is>
      </c>
      <c r="D3" s="10" t="n"/>
      <c r="E3" s="10" t="n"/>
      <c r="F3" s="10" t="n"/>
      <c r="G3" s="10" t="n"/>
      <c r="H3" s="10" t="n"/>
    </row>
    <row r="4">
      <c r="A4" s="5" t="inlineStr">
        <is>
          <t>1.0</t>
        </is>
      </c>
      <c r="B4" s="5" t="inlineStr">
        <is>
          <t>Preliminary Design</t>
        </is>
      </c>
      <c r="C4" s="5" t="inlineStr">
        <is>
          <t>Deliverable</t>
        </is>
      </c>
      <c r="D4" s="5" t="n"/>
      <c r="E4" s="5" t="inlineStr">
        <is>
          <t>2026-09-01</t>
        </is>
      </c>
      <c r="F4" s="5" t="inlineStr">
        <is>
          <t>2026-09-26</t>
        </is>
      </c>
      <c r="G4" s="5" t="n"/>
      <c r="H4" s="5" t="inlineStr">
        <is>
          <t>2.0:FS</t>
        </is>
      </c>
    </row>
    <row r="5">
      <c r="A5" s="5" t="inlineStr">
        <is>
          <t>1.1</t>
        </is>
      </c>
      <c r="B5" s="11" t="inlineStr">
        <is>
          <t>Kickoff &amp; data collection</t>
        </is>
      </c>
      <c r="C5" s="5" t="inlineStr">
        <is>
          <t>Activity</t>
        </is>
      </c>
      <c r="D5" s="5" t="n">
        <v>5</v>
      </c>
      <c r="E5" s="5" t="n"/>
      <c r="F5" s="5" t="n"/>
      <c r="G5" s="5" t="n"/>
      <c r="H5" s="5" t="inlineStr">
        <is>
          <t>1.2:FS</t>
        </is>
      </c>
    </row>
    <row r="6">
      <c r="A6" s="5" t="inlineStr">
        <is>
          <t>1.2</t>
        </is>
      </c>
      <c r="B6" s="11" t="inlineStr">
        <is>
          <t>Prepare preliminary design</t>
        </is>
      </c>
      <c r="C6" s="5" t="inlineStr">
        <is>
          <t>Activity</t>
        </is>
      </c>
      <c r="D6" s="5" t="n">
        <v>10</v>
      </c>
      <c r="E6" s="5" t="n"/>
      <c r="F6" s="5" t="n"/>
      <c r="G6" s="5" t="inlineStr">
        <is>
          <t>1.1:FS</t>
        </is>
      </c>
      <c r="H6" s="5" t="inlineStr">
        <is>
          <t>1.3:FS</t>
        </is>
      </c>
    </row>
    <row r="7">
      <c r="A7" s="5" t="inlineStr">
        <is>
          <t>1.3</t>
        </is>
      </c>
      <c r="B7" s="11" t="inlineStr">
        <is>
          <t>Review &amp; approve</t>
        </is>
      </c>
      <c r="C7" s="5" t="inlineStr">
        <is>
          <t>Activity</t>
        </is>
      </c>
      <c r="D7" s="5" t="n">
        <v>5</v>
      </c>
      <c r="E7" s="5" t="n"/>
      <c r="F7" s="5" t="n"/>
      <c r="G7" s="5" t="inlineStr">
        <is>
          <t>1.2:FS</t>
        </is>
      </c>
      <c r="H7" s="5" t="n"/>
    </row>
    <row r="8">
      <c r="A8" s="5" t="inlineStr">
        <is>
          <t>1.4</t>
        </is>
      </c>
      <c r="B8" s="12" t="inlineStr">
        <is>
          <t>Preliminary Design Approved</t>
        </is>
      </c>
      <c r="C8" s="5" t="inlineStr">
        <is>
          <t>Milestone</t>
        </is>
      </c>
      <c r="D8" s="5" t="n">
        <v>0</v>
      </c>
      <c r="E8" s="5" t="n"/>
      <c r="F8" s="5" t="n"/>
      <c r="G8" s="5" t="inlineStr">
        <is>
          <t>1.0:FS</t>
        </is>
      </c>
      <c r="H8" s="5" t="n"/>
    </row>
    <row r="9">
      <c r="A9" s="5" t="inlineStr">
        <is>
          <t>2.0</t>
        </is>
      </c>
      <c r="B9" s="5" t="inlineStr">
        <is>
          <t>Detailed Design</t>
        </is>
      </c>
      <c r="C9" s="5" t="inlineStr">
        <is>
          <t>Deliverable</t>
        </is>
      </c>
      <c r="D9" s="5" t="n"/>
      <c r="E9" s="5" t="n"/>
      <c r="F9" s="5" t="n"/>
      <c r="G9" s="5" t="inlineStr">
        <is>
          <t>1.0:FS</t>
        </is>
      </c>
      <c r="H9" s="5" t="inlineStr">
        <is>
          <t>3.0:FS+5</t>
        </is>
      </c>
    </row>
    <row r="10">
      <c r="A10" s="5" t="inlineStr">
        <is>
          <t>2.1</t>
        </is>
      </c>
      <c r="B10" s="11" t="inlineStr">
        <is>
          <t>Prepare detailed drawings</t>
        </is>
      </c>
      <c r="C10" s="5" t="inlineStr">
        <is>
          <t>Activity</t>
        </is>
      </c>
      <c r="D10" s="5" t="n">
        <v>15</v>
      </c>
      <c r="E10" s="5" t="n"/>
      <c r="F10" s="5" t="n"/>
      <c r="G10" s="5" t="inlineStr">
        <is>
          <t>1.3:FS</t>
        </is>
      </c>
      <c r="H10" s="5" t="inlineStr">
        <is>
          <t>2.2:FS</t>
        </is>
      </c>
    </row>
    <row r="11">
      <c r="A11" s="5" t="inlineStr">
        <is>
          <t>2.2</t>
        </is>
      </c>
      <c r="B11" s="11" t="inlineStr">
        <is>
          <t>Internal review</t>
        </is>
      </c>
      <c r="C11" s="5" t="inlineStr">
        <is>
          <t>Activity</t>
        </is>
      </c>
      <c r="D11" s="5" t="n">
        <v>5</v>
      </c>
      <c r="E11" s="5" t="n"/>
      <c r="F11" s="5" t="n"/>
      <c r="G11" s="5" t="inlineStr">
        <is>
          <t>2.1:FS</t>
        </is>
      </c>
      <c r="H11" s="5" t="n"/>
    </row>
    <row r="12">
      <c r="A12" s="10" t="n"/>
      <c r="B12" s="10" t="inlineStr">
        <is>
          <t>Procurement &amp; Construction</t>
        </is>
      </c>
      <c r="C12" s="10" t="inlineStr">
        <is>
          <t>WBS Header</t>
        </is>
      </c>
      <c r="D12" s="10" t="n"/>
      <c r="E12" s="10" t="n"/>
      <c r="F12" s="10" t="n"/>
      <c r="G12" s="10" t="n"/>
      <c r="H12" s="10" t="n"/>
    </row>
    <row r="13">
      <c r="A13" s="5" t="inlineStr">
        <is>
          <t>3.0</t>
        </is>
      </c>
      <c r="B13" s="5" t="inlineStr">
        <is>
          <t>Procurement</t>
        </is>
      </c>
      <c r="C13" s="5" t="inlineStr">
        <is>
          <t>Deliverable</t>
        </is>
      </c>
      <c r="D13" s="5" t="n"/>
      <c r="E13" s="5" t="n"/>
      <c r="F13" s="5" t="n"/>
      <c r="G13" s="5" t="inlineStr">
        <is>
          <t>2.0:FS+5</t>
        </is>
      </c>
      <c r="H13" s="5" t="inlineStr">
        <is>
          <t>4.0:FS</t>
        </is>
      </c>
    </row>
    <row r="14">
      <c r="A14" s="5" t="inlineStr">
        <is>
          <t>3.1</t>
        </is>
      </c>
      <c r="B14" s="11" t="inlineStr">
        <is>
          <t>Issue RFQ</t>
        </is>
      </c>
      <c r="C14" s="5" t="inlineStr">
        <is>
          <t>Activity</t>
        </is>
      </c>
      <c r="D14" s="5" t="n">
        <v>5</v>
      </c>
      <c r="E14" s="5" t="n"/>
      <c r="F14" s="5" t="n"/>
      <c r="G14" s="5" t="n"/>
      <c r="H14" s="5" t="inlineStr">
        <is>
          <t>3.2:FS</t>
        </is>
      </c>
    </row>
    <row r="15">
      <c r="A15" s="5" t="inlineStr">
        <is>
          <t>3.2</t>
        </is>
      </c>
      <c r="B15" s="11" t="inlineStr">
        <is>
          <t>Evaluate bids &amp; award</t>
        </is>
      </c>
      <c r="C15" s="5" t="inlineStr">
        <is>
          <t>Activity</t>
        </is>
      </c>
      <c r="D15" s="5" t="n">
        <v>10</v>
      </c>
      <c r="E15" s="5" t="n"/>
      <c r="F15" s="5" t="n"/>
      <c r="G15" s="5" t="inlineStr">
        <is>
          <t>3.1:FS</t>
        </is>
      </c>
      <c r="H15" s="5" t="n"/>
    </row>
    <row r="16">
      <c r="A16" s="5" t="inlineStr">
        <is>
          <t>4.0</t>
        </is>
      </c>
      <c r="B16" s="5" t="inlineStr">
        <is>
          <t>Construction</t>
        </is>
      </c>
      <c r="C16" s="5" t="inlineStr">
        <is>
          <t>Deliverable</t>
        </is>
      </c>
      <c r="D16" s="5" t="n"/>
      <c r="E16" s="5" t="n"/>
      <c r="F16" s="5" t="n"/>
      <c r="G16" s="5" t="inlineStr">
        <is>
          <t>3.0:FS</t>
        </is>
      </c>
      <c r="H16" s="5" t="inlineStr">
        <is>
          <t>5.0:FS</t>
        </is>
      </c>
    </row>
    <row r="17">
      <c r="A17" s="5" t="inlineStr">
        <is>
          <t>4.1</t>
        </is>
      </c>
      <c r="B17" s="11" t="inlineStr">
        <is>
          <t>Construction works</t>
        </is>
      </c>
      <c r="C17" s="5" t="inlineStr">
        <is>
          <t>Activity</t>
        </is>
      </c>
      <c r="D17" s="5" t="n">
        <v>40</v>
      </c>
      <c r="E17" s="5" t="n"/>
      <c r="F17" s="5" t="n"/>
      <c r="G17" s="5" t="n"/>
      <c r="H17" s="5" t="n"/>
    </row>
    <row r="18">
      <c r="A18" s="5" t="inlineStr">
        <is>
          <t>5.0</t>
        </is>
      </c>
      <c r="B18" s="12" t="inlineStr">
        <is>
          <t>Commissioning Complete</t>
        </is>
      </c>
      <c r="C18" s="5" t="inlineStr">
        <is>
          <t>Milestone</t>
        </is>
      </c>
      <c r="D18" s="5" t="n">
        <v>0</v>
      </c>
      <c r="E18" s="5" t="n"/>
      <c r="F18" s="5" t="n"/>
      <c r="G18" s="5" t="inlineStr">
        <is>
          <t>4.0:FS</t>
        </is>
      </c>
      <c r="H18" s="5" t="n"/>
    </row>
    <row r="20">
      <c r="A20" s="9" t="inlineStr">
        <is>
          <t>A completed schedule for reference — copy rows 1–18 into the paste dialog to try the import.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3" t="inlineStr">
        <is>
          <t>PREREQ Import Template</t>
        </is>
      </c>
    </row>
    <row r="2">
      <c r="A2" s="14" t="inlineStr"/>
    </row>
    <row r="3">
      <c r="A3" s="15" t="inlineStr">
        <is>
          <t>How to use</t>
        </is>
      </c>
    </row>
    <row r="4" ht="28" customHeight="1">
      <c r="A4" s="14" t="inlineStr">
        <is>
          <t>1. Fill in the yellow cells on the Template sheet — overwrite the placeholder names, set durations and predecessors. (The Example sheet shows a completed schedule.)</t>
        </is>
      </c>
    </row>
    <row r="5" ht="28" customHeight="1">
      <c r="A5" s="14" t="inlineStr">
        <is>
          <t>2. Select the used rows (including the header row), copy, and in PREREQ choose New Project → Paste a plan, then paste.</t>
        </is>
      </c>
    </row>
    <row r="6" ht="28" customHeight="1">
      <c r="A6" s="14" t="inlineStr">
        <is>
          <t>3. PREREQ detects the table format, shows a preview ('Table format detected'), and creates the project.</t>
        </is>
      </c>
    </row>
    <row r="7">
      <c r="A7" s="14" t="inlineStr"/>
    </row>
    <row r="8">
      <c r="A8" s="15" t="inlineStr">
        <is>
          <t>Columns</t>
        </is>
      </c>
    </row>
    <row r="9" ht="28" customHeight="1">
      <c r="A9" s="14" t="inlineStr">
        <is>
          <t>ID — WBS code. N.0 rows are deliverables (1.0, 2.0…); N.1, N.2… are that deliverable's activities. Milestones can use any free code (1.4, 5.0).</t>
        </is>
      </c>
    </row>
    <row r="10">
      <c r="A10" s="14" t="inlineStr">
        <is>
          <t>Description — the name. The only truly required column.</t>
        </is>
      </c>
    </row>
    <row r="11" ht="28" customHeight="1">
      <c r="A11" s="14" t="inlineStr">
        <is>
          <t>Type — Deliverable / Activity / Milestone / WBS Header. Optional: left blank, PREREQ infers it from the ID. A 'WBS Header' row with no ID becomes a PHASE.</t>
        </is>
      </c>
    </row>
    <row r="12" ht="28" customHeight="1">
      <c r="A12" s="14" t="inlineStr">
        <is>
          <t>Duration (d) — working days. Blank on an activity = 5d default. Blank on a deliverable with Start+Finish = derived from those dates.</t>
        </is>
      </c>
    </row>
    <row r="13" ht="28" customHeight="1">
      <c r="A13" s="14" t="inlineStr">
        <is>
          <t>Start / Finish — dates (YYYY-MM-DD is safest). PREREQ schedules by CPM (durations + logic), so these are NOT imported as fixed dates: the earliest Start becomes the project start, and Start+Finish fill in a missing duration.</t>
        </is>
      </c>
    </row>
    <row r="14" ht="28" customHeight="1">
      <c r="A14" s="14" t="inlineStr">
        <is>
          <t>Predecessor — the logic, e.g. 1.2:FS or 2.0:FS+5 (lag in days; use -N for leads). Comma-separate multiples: 1.2:FS, 3.1:SS. FS/SS/FF/SF supported. References the ID column.</t>
        </is>
      </c>
    </row>
    <row r="15" ht="28" customHeight="1">
      <c r="A15" s="14" t="inlineStr">
        <is>
          <t>Successor — reference only; PREREQ reads the Predecessor column. (Fill it for your own readability.)</t>
        </is>
      </c>
    </row>
    <row r="16">
      <c r="A16" s="14" t="inlineStr"/>
    </row>
    <row r="17">
      <c r="A17" s="15" t="inlineStr">
        <is>
          <t>The forgiveness rules (missing info never blocks creation)</t>
        </is>
      </c>
    </row>
    <row r="18" ht="28" customHeight="1">
      <c r="A18" s="14" t="inlineStr">
        <is>
          <t>• No Type column → inferred from IDs.  • No durations → defaults (5d) or derived from dates.</t>
        </is>
      </c>
    </row>
    <row r="19" ht="28" customHeight="1">
      <c r="A19" s="14" t="inlineStr">
        <is>
          <t>• No Predecessor column → deliverables and activities are chained finish-to-start in listed order.</t>
        </is>
      </c>
    </row>
    <row r="20" ht="28" customHeight="1">
      <c r="A20" s="14" t="inlineStr">
        <is>
          <t>• A predecessor that references a missing ID is skipped quietly.  • Activities with no N.0 parent row get one created.</t>
        </is>
      </c>
    </row>
    <row r="21">
      <c r="A21" s="14" t="inlineStr">
        <is>
          <t>• Blank rows, stray cells, and a missing header row are all tolerated.</t>
        </is>
      </c>
    </row>
    <row r="22">
      <c r="A22" s="14" t="inlineStr"/>
    </row>
    <row r="23">
      <c r="A23" s="15" t="inlineStr">
        <is>
          <t>Using Word instead of Excel</t>
        </is>
      </c>
    </row>
    <row r="24" ht="28" customHeight="1">
      <c r="A24" s="14" t="inlineStr">
        <is>
          <t>Type the same outline as plain text: 'Project: Name', 'Phase: Name', '1. Deliverable', indented '1.1 Activity — 10d', 'Milestone: Name'. Paste it into the same dialog.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2026-08-26T14:32:49Z</dcterms:created>
  <dcterms:modified xsi:type="dcterms:W3CDTF">2026-08-26T14:32:49Z</dcterms:modified>
</cp:coreProperties>
</file>